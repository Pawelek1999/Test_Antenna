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omments3.xml" ContentType="application/vnd.openxmlformats-officedocument.spreadsheetml.comments+xml"/>
  <Override PartName="/xl/charts/chart6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omfy-my.sharepoint.com/personal/jakub_pawelek_somfy_com/Documents/Desktop/"/>
    </mc:Choice>
  </mc:AlternateContent>
  <xr:revisionPtr revIDLastSave="163" documentId="11_33AB73D7375CF2584D5B4BDD7E1B1DA65E074F86" xr6:coauthVersionLast="47" xr6:coauthVersionMax="47" xr10:uidLastSave="{6E13063B-321F-4798-88D7-45B69B19ED6E}"/>
  <bookViews>
    <workbookView xWindow="-108" yWindow="-108" windowWidth="23256" windowHeight="12456" activeTab="2" xr2:uid="{00000000-000D-0000-FFFF-FFFF00000000}"/>
  </bookViews>
  <sheets>
    <sheet name="1" sheetId="74" r:id="rId1"/>
    <sheet name="2" sheetId="75" r:id="rId2"/>
    <sheet name="3" sheetId="76" r:id="rId3"/>
  </sheets>
  <definedNames>
    <definedName name="_xlnm._FilterDatabase" localSheetId="0" hidden="1">'1'!$K$40:$P$43</definedName>
    <definedName name="_xlnm.Print_Area" localSheetId="0">'1'!$A$1:$Q$63</definedName>
    <definedName name="q" localSheetId="0">#REF!</definedName>
    <definedName name="q">#REF!</definedName>
    <definedName name="toto" localSheetId="0">#REF!</definedName>
    <definedName name="tot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4" i="75" l="1"/>
  <c r="J16" i="76"/>
  <c r="G11" i="76"/>
  <c r="G16" i="76"/>
  <c r="O41" i="74" a="1"/>
  <c r="O41" i="74" s="1"/>
  <c r="I22" i="74"/>
  <c r="K22" i="74" s="1"/>
  <c r="I23" i="74"/>
  <c r="O41" i="76" a="1"/>
  <c r="O41" i="76" s="1"/>
  <c r="O43" i="76" s="1"/>
  <c r="H36" i="76"/>
  <c r="G36" i="76"/>
  <c r="F36" i="76"/>
  <c r="E36" i="76"/>
  <c r="H35" i="76"/>
  <c r="G35" i="76"/>
  <c r="F35" i="76"/>
  <c r="E35" i="76"/>
  <c r="H34" i="76"/>
  <c r="G34" i="76"/>
  <c r="F34" i="76"/>
  <c r="E34" i="76"/>
  <c r="V13" i="76"/>
  <c r="U13" i="76"/>
  <c r="V12" i="76"/>
  <c r="U12" i="76"/>
  <c r="V11" i="76"/>
  <c r="U11" i="76"/>
  <c r="O41" i="75" a="1"/>
  <c r="O41" i="75" s="1"/>
  <c r="O43" i="75" s="1"/>
  <c r="H36" i="75"/>
  <c r="G36" i="75"/>
  <c r="F36" i="75"/>
  <c r="E36" i="75"/>
  <c r="H35" i="75"/>
  <c r="G35" i="75"/>
  <c r="F35" i="75"/>
  <c r="J16" i="75"/>
  <c r="G16" i="75" s="1"/>
  <c r="V13" i="75"/>
  <c r="U13" i="75"/>
  <c r="V12" i="75"/>
  <c r="U12" i="75"/>
  <c r="V11" i="75"/>
  <c r="U11" i="75"/>
  <c r="G10" i="76" l="1"/>
  <c r="I23" i="76" s="1"/>
  <c r="K23" i="76" s="1"/>
  <c r="G10" i="75"/>
  <c r="I36" i="76"/>
  <c r="K36" i="76" s="1"/>
  <c r="G11" i="75"/>
  <c r="I34" i="75" s="1"/>
  <c r="T32" i="75"/>
  <c r="T26" i="75"/>
  <c r="T33" i="75"/>
  <c r="T25" i="75"/>
  <c r="T29" i="75"/>
  <c r="T30" i="75"/>
  <c r="T22" i="75"/>
  <c r="M30" i="76"/>
  <c r="O30" i="76" s="1"/>
  <c r="M26" i="76"/>
  <c r="O26" i="76" s="1"/>
  <c r="I24" i="76"/>
  <c r="K24" i="76" s="1"/>
  <c r="M22" i="76"/>
  <c r="O22" i="76" s="1"/>
  <c r="I27" i="76"/>
  <c r="K27" i="76" s="1"/>
  <c r="M25" i="76"/>
  <c r="O25" i="76" s="1"/>
  <c r="I30" i="76"/>
  <c r="K30" i="76" s="1"/>
  <c r="M28" i="76"/>
  <c r="O28" i="76" s="1"/>
  <c r="M24" i="76"/>
  <c r="O24" i="76" s="1"/>
  <c r="I33" i="76"/>
  <c r="K33" i="76" s="1"/>
  <c r="M31" i="76"/>
  <c r="O31" i="76" s="1"/>
  <c r="M34" i="76"/>
  <c r="O34" i="76" s="1"/>
  <c r="M36" i="76"/>
  <c r="O36" i="76" s="1"/>
  <c r="T32" i="76"/>
  <c r="T28" i="76"/>
  <c r="T24" i="76"/>
  <c r="T31" i="76"/>
  <c r="T27" i="76"/>
  <c r="T23" i="76"/>
  <c r="T30" i="76"/>
  <c r="T33" i="76"/>
  <c r="T29" i="76"/>
  <c r="T25" i="76"/>
  <c r="T26" i="76"/>
  <c r="T22" i="76"/>
  <c r="N16" i="76"/>
  <c r="M26" i="75"/>
  <c r="O26" i="75" s="1"/>
  <c r="I24" i="75"/>
  <c r="K24" i="75" s="1"/>
  <c r="I31" i="75"/>
  <c r="K31" i="75" s="1"/>
  <c r="I27" i="75"/>
  <c r="K27" i="75" s="1"/>
  <c r="I26" i="75"/>
  <c r="K26" i="75" s="1"/>
  <c r="M24" i="75"/>
  <c r="O24" i="75" s="1"/>
  <c r="M34" i="75"/>
  <c r="O34" i="75" s="1"/>
  <c r="T23" i="75"/>
  <c r="T27" i="75"/>
  <c r="T31" i="75"/>
  <c r="T24" i="75"/>
  <c r="T28" i="75"/>
  <c r="J16" i="74"/>
  <c r="G16" i="74" s="1"/>
  <c r="M32" i="76" l="1"/>
  <c r="O32" i="76" s="1"/>
  <c r="I28" i="76"/>
  <c r="K28" i="76" s="1"/>
  <c r="I31" i="76"/>
  <c r="K31" i="76" s="1"/>
  <c r="I22" i="76"/>
  <c r="K22" i="76" s="1"/>
  <c r="I22" i="75"/>
  <c r="I30" i="75"/>
  <c r="K30" i="75" s="1"/>
  <c r="I32" i="75"/>
  <c r="K32" i="75" s="1"/>
  <c r="I25" i="75"/>
  <c r="K25" i="75" s="1"/>
  <c r="M32" i="75"/>
  <c r="O32" i="75" s="1"/>
  <c r="I35" i="75"/>
  <c r="K35" i="75" s="1"/>
  <c r="I23" i="75"/>
  <c r="K23" i="75" s="1"/>
  <c r="M23" i="75"/>
  <c r="O23" i="75" s="1"/>
  <c r="M27" i="75"/>
  <c r="O27" i="75" s="1"/>
  <c r="M23" i="76"/>
  <c r="O23" i="76" s="1"/>
  <c r="M29" i="76"/>
  <c r="O29" i="76" s="1"/>
  <c r="I25" i="76"/>
  <c r="K25" i="76" s="1"/>
  <c r="M27" i="76"/>
  <c r="O27" i="76" s="1"/>
  <c r="I29" i="76"/>
  <c r="K29" i="76" s="1"/>
  <c r="M33" i="76"/>
  <c r="O33" i="76" s="1"/>
  <c r="M35" i="76"/>
  <c r="O35" i="76" s="1"/>
  <c r="I26" i="76"/>
  <c r="K26" i="76" s="1"/>
  <c r="I32" i="76"/>
  <c r="K32" i="76" s="1"/>
  <c r="I35" i="76"/>
  <c r="K35" i="76" s="1"/>
  <c r="I34" i="76"/>
  <c r="K34" i="76" s="1"/>
  <c r="N16" i="75"/>
  <c r="M31" i="75"/>
  <c r="O31" i="75" s="1"/>
  <c r="M33" i="75"/>
  <c r="O33" i="75" s="1"/>
  <c r="I36" i="75"/>
  <c r="K36" i="75" s="1"/>
  <c r="M36" i="75"/>
  <c r="O36" i="75" s="1"/>
  <c r="M25" i="75"/>
  <c r="O25" i="75" s="1"/>
  <c r="I29" i="75"/>
  <c r="K29" i="75" s="1"/>
  <c r="M28" i="75"/>
  <c r="O28" i="75" s="1"/>
  <c r="I28" i="75"/>
  <c r="K28" i="75" s="1"/>
  <c r="M35" i="75"/>
  <c r="O35" i="75" s="1"/>
  <c r="K22" i="75"/>
  <c r="M29" i="75"/>
  <c r="O29" i="75" s="1"/>
  <c r="I33" i="75"/>
  <c r="K33" i="75" s="1"/>
  <c r="M22" i="75"/>
  <c r="O22" i="75" s="1"/>
  <c r="M30" i="75"/>
  <c r="O30" i="75" s="1"/>
  <c r="E34" i="74"/>
  <c r="O43" i="74" l="1"/>
  <c r="H36" i="74" l="1"/>
  <c r="G36" i="74"/>
  <c r="F36" i="74"/>
  <c r="E36" i="74"/>
  <c r="H35" i="74"/>
  <c r="G35" i="74"/>
  <c r="F35" i="74"/>
  <c r="E35" i="74"/>
  <c r="H34" i="74"/>
  <c r="G34" i="74"/>
  <c r="F34" i="74"/>
  <c r="V13" i="74"/>
  <c r="U13" i="74"/>
  <c r="V12" i="74"/>
  <c r="U12" i="74"/>
  <c r="V11" i="74"/>
  <c r="U11" i="74"/>
  <c r="G10" i="74" s="1"/>
  <c r="G11" i="74" l="1"/>
  <c r="I26" i="74" s="1"/>
  <c r="T31" i="74"/>
  <c r="T27" i="74"/>
  <c r="T23" i="74"/>
  <c r="T26" i="74"/>
  <c r="T32" i="74"/>
  <c r="T28" i="74"/>
  <c r="T24" i="74"/>
  <c r="T30" i="74"/>
  <c r="T22" i="74"/>
  <c r="T33" i="74"/>
  <c r="T29" i="74"/>
  <c r="T25" i="74"/>
  <c r="M22" i="74" l="1"/>
  <c r="I34" i="74"/>
  <c r="M29" i="74"/>
  <c r="O29" i="74" s="1"/>
  <c r="N16" i="74"/>
  <c r="M34" i="74"/>
  <c r="O34" i="74" s="1"/>
  <c r="I32" i="74"/>
  <c r="K32" i="74" s="1"/>
  <c r="K26" i="74"/>
  <c r="I31" i="74"/>
  <c r="K31" i="74" s="1"/>
  <c r="M32" i="74"/>
  <c r="O32" i="74" s="1"/>
  <c r="I35" i="74"/>
  <c r="K35" i="74" s="1"/>
  <c r="M27" i="74"/>
  <c r="O27" i="74" s="1"/>
  <c r="I29" i="74"/>
  <c r="K29" i="74" s="1"/>
  <c r="M31" i="74"/>
  <c r="O31" i="74" s="1"/>
  <c r="M26" i="74"/>
  <c r="O26" i="74" s="1"/>
  <c r="M25" i="74"/>
  <c r="O25" i="74" s="1"/>
  <c r="I25" i="74"/>
  <c r="K25" i="74" s="1"/>
  <c r="O22" i="74"/>
  <c r="K23" i="74"/>
  <c r="M36" i="74"/>
  <c r="O36" i="74" s="1"/>
  <c r="I33" i="74"/>
  <c r="K33" i="74" s="1"/>
  <c r="I28" i="74"/>
  <c r="K28" i="74" s="1"/>
  <c r="I27" i="74"/>
  <c r="K27" i="74" s="1"/>
  <c r="I36" i="74"/>
  <c r="K36" i="74" s="1"/>
  <c r="M23" i="74"/>
  <c r="O23" i="74" s="1"/>
  <c r="M33" i="74"/>
  <c r="O33" i="74" s="1"/>
  <c r="M28" i="74"/>
  <c r="O28" i="74" s="1"/>
  <c r="I30" i="74"/>
  <c r="K30" i="74" s="1"/>
  <c r="I24" i="74"/>
  <c r="K24" i="74" s="1"/>
  <c r="M35" i="74"/>
  <c r="O35" i="74" s="1"/>
  <c r="M24" i="74"/>
  <c r="O24" i="74" s="1"/>
  <c r="M30" i="74"/>
  <c r="O30" i="74" s="1"/>
  <c r="K34" i="7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bruneaugu</author>
  </authors>
  <commentList>
    <comment ref="K4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Somfy Lab:</t>
        </r>
        <r>
          <rPr>
            <sz val="8"/>
            <color indexed="81"/>
            <rFont val="Tahoma"/>
            <family val="2"/>
          </rPr>
          <t xml:space="preserve">
Enter angle and antenna polarity which gives the best sensitivity.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bruneaugu</author>
  </authors>
  <commentList>
    <comment ref="K4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Somfy Lab:</t>
        </r>
        <r>
          <rPr>
            <sz val="8"/>
            <color indexed="81"/>
            <rFont val="Tahoma"/>
            <family val="2"/>
          </rPr>
          <t xml:space="preserve">
Enter angle and antenna polarity which gives the best sensitivity.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bruneaugu</author>
  </authors>
  <commentList>
    <comment ref="K41" authorId="0" shapeId="0" xr:uid="{00000000-0006-0000-0200-000001000000}">
      <text>
        <r>
          <rPr>
            <b/>
            <sz val="8"/>
            <color indexed="81"/>
            <rFont val="Tahoma"/>
            <family val="2"/>
          </rPr>
          <t>Somfy Lab:</t>
        </r>
        <r>
          <rPr>
            <sz val="8"/>
            <color indexed="81"/>
            <rFont val="Tahoma"/>
            <family val="2"/>
          </rPr>
          <t xml:space="preserve">
Enter angle and antenna polarity which gives the best sensitivity.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<sst xmlns="http://schemas.openxmlformats.org/spreadsheetml/2006/main" count="357" uniqueCount="97">
  <si>
    <t>Angle</t>
  </si>
  <si>
    <t>Distance (D):</t>
  </si>
  <si>
    <t>Formula used :</t>
  </si>
  <si>
    <t>Frequency :</t>
  </si>
  <si>
    <t>Data input:</t>
  </si>
  <si>
    <t>Hong Kong</t>
  </si>
  <si>
    <t>Japan</t>
  </si>
  <si>
    <t>Europe / US / China</t>
  </si>
  <si>
    <t>Country</t>
  </si>
  <si>
    <t>Protocol</t>
  </si>
  <si>
    <t>Europe</t>
  </si>
  <si>
    <t>RTS</t>
  </si>
  <si>
    <t>RTX</t>
  </si>
  <si>
    <t>Wire Loss</t>
  </si>
  <si>
    <t>Antena Factor</t>
  </si>
  <si>
    <t>EUT Identification:</t>
  </si>
  <si>
    <t>Order</t>
  </si>
  <si>
    <t>Activation</t>
  </si>
  <si>
    <t>Stop</t>
  </si>
  <si>
    <t>Angle / Polar</t>
  </si>
  <si>
    <t>&lt;</t>
  </si>
  <si>
    <t>Or  &lt;</t>
  </si>
  <si>
    <t>Test Set-Up:</t>
  </si>
  <si>
    <t xml:space="preserve">Worst sensitivity </t>
  </si>
  <si>
    <t xml:space="preserve">Best Sensitivity </t>
  </si>
  <si>
    <t>Value</t>
  </si>
  <si>
    <t>Somfy Limit associated:</t>
  </si>
  <si>
    <t>Korea</t>
  </si>
  <si>
    <t>Choose Frequency</t>
  </si>
  <si>
    <t>Activation order</t>
  </si>
  <si>
    <t>Stop order**</t>
  </si>
  <si>
    <r>
      <t xml:space="preserve">  (P</t>
    </r>
    <r>
      <rPr>
        <b/>
        <vertAlign val="subscript"/>
        <sz val="8"/>
        <color indexed="55"/>
        <rFont val="Arial"/>
        <family val="2"/>
      </rPr>
      <t xml:space="preserve">generator   </t>
    </r>
    <r>
      <rPr>
        <b/>
        <sz val="8"/>
        <color indexed="55"/>
        <rFont val="Arial"/>
        <family val="2"/>
      </rPr>
      <t xml:space="preserve">&lt; </t>
    </r>
  </si>
  <si>
    <t>Wire Loss (dB) :</t>
  </si>
  <si>
    <t>Antenna Factor (dBm-1) :</t>
  </si>
  <si>
    <t>Frequency (MHz)</t>
  </si>
  <si>
    <t>** optional values</t>
  </si>
  <si>
    <r>
      <t xml:space="preserve">Sensitivity diagram for an </t>
    </r>
    <r>
      <rPr>
        <b/>
        <u/>
        <sz val="8"/>
        <color indexed="12"/>
        <rFont val="Arial"/>
        <family val="2"/>
      </rPr>
      <t>"activation"</t>
    </r>
    <r>
      <rPr>
        <b/>
        <u/>
        <sz val="8"/>
        <rFont val="Arial"/>
        <family val="2"/>
      </rPr>
      <t xml:space="preserve"> order.  E(dBµV/m):</t>
    </r>
  </si>
  <si>
    <t>Difference between "Activation" and "Stop" order:</t>
  </si>
  <si>
    <r>
      <t>E</t>
    </r>
    <r>
      <rPr>
        <vertAlign val="subscript"/>
        <sz val="8"/>
        <rFont val="Arial"/>
        <family val="2"/>
      </rPr>
      <t>(dB μV/m)</t>
    </r>
    <r>
      <rPr>
        <sz val="8"/>
        <rFont val="Arial"/>
        <family val="2"/>
      </rPr>
      <t xml:space="preserve"> = Pg</t>
    </r>
    <r>
      <rPr>
        <vertAlign val="subscript"/>
        <sz val="8"/>
        <rFont val="Arial"/>
        <family val="2"/>
      </rPr>
      <t>(dBm)</t>
    </r>
    <r>
      <rPr>
        <sz val="8"/>
        <rFont val="Arial"/>
        <family val="2"/>
      </rPr>
      <t xml:space="preserve"> – p</t>
    </r>
    <r>
      <rPr>
        <vertAlign val="subscript"/>
        <sz val="8"/>
        <rFont val="Arial"/>
        <family val="2"/>
      </rPr>
      <t xml:space="preserve">(dB) </t>
    </r>
    <r>
      <rPr>
        <sz val="8"/>
        <rFont val="Arial"/>
        <family val="2"/>
      </rPr>
      <t>– 20 Log D</t>
    </r>
    <r>
      <rPr>
        <vertAlign val="subscript"/>
        <sz val="8"/>
        <rFont val="Arial"/>
        <family val="2"/>
      </rPr>
      <t>(m)</t>
    </r>
    <r>
      <rPr>
        <sz val="8"/>
        <rFont val="Arial"/>
        <family val="2"/>
      </rPr>
      <t xml:space="preserve"> + 20Log F</t>
    </r>
    <r>
      <rPr>
        <vertAlign val="subscript"/>
        <sz val="8"/>
        <rFont val="Arial"/>
        <family val="2"/>
      </rPr>
      <t>(MHz)</t>
    </r>
    <r>
      <rPr>
        <sz val="8"/>
        <rFont val="Arial"/>
        <family val="2"/>
      </rPr>
      <t xml:space="preserve"> –K</t>
    </r>
    <r>
      <rPr>
        <vertAlign val="subscript"/>
        <sz val="8"/>
        <rFont val="Arial"/>
        <family val="2"/>
      </rPr>
      <t>(dBm</t>
    </r>
    <r>
      <rPr>
        <vertAlign val="superscript"/>
        <sz val="8"/>
        <rFont val="Arial"/>
        <family val="2"/>
      </rPr>
      <t>-1</t>
    </r>
    <r>
      <rPr>
        <vertAlign val="subscript"/>
        <sz val="8"/>
        <rFont val="Arial"/>
        <family val="2"/>
      </rPr>
      <t>)</t>
    </r>
    <r>
      <rPr>
        <sz val="8"/>
        <rFont val="Arial"/>
        <family val="2"/>
      </rPr>
      <t xml:space="preserve"> + 75.01</t>
    </r>
  </si>
  <si>
    <t>Average of Rx sensitivity</t>
  </si>
  <si>
    <r>
      <t xml:space="preserve">Sensitivity values for </t>
    </r>
    <r>
      <rPr>
        <b/>
        <u/>
        <sz val="8"/>
        <color indexed="12"/>
        <rFont val="Arial"/>
        <family val="2"/>
      </rPr>
      <t>activation</t>
    </r>
    <r>
      <rPr>
        <b/>
        <u/>
        <sz val="8"/>
        <rFont val="Arial"/>
        <family val="2"/>
      </rPr>
      <t xml:space="preserve"> order:</t>
    </r>
  </si>
  <si>
    <t>Wire Loss (p)* :</t>
  </si>
  <si>
    <t>Antenna Factor (K)* :</t>
  </si>
  <si>
    <t xml:space="preserve">Generator values </t>
  </si>
  <si>
    <t xml:space="preserve">Receiver sensitivity </t>
  </si>
  <si>
    <t>Kind of antenna :</t>
  </si>
  <si>
    <t>E(dBµV/m)</t>
  </si>
  <si>
    <t>E(µV/m)</t>
  </si>
  <si>
    <t xml:space="preserve">Polar V </t>
  </si>
  <si>
    <t xml:space="preserve">Polar H </t>
  </si>
  <si>
    <r>
      <t xml:space="preserve">Sensitivity value for </t>
    </r>
    <r>
      <rPr>
        <b/>
        <sz val="8"/>
        <color indexed="12"/>
        <rFont val="Arial"/>
        <family val="2"/>
      </rPr>
      <t>"activation"</t>
    </r>
    <r>
      <rPr>
        <b/>
        <sz val="8"/>
        <rFont val="Arial"/>
        <family val="2"/>
      </rPr>
      <t xml:space="preserve"> order</t>
    </r>
  </si>
  <si>
    <t>Gap</t>
  </si>
  <si>
    <t>Enter value</t>
  </si>
  <si>
    <t>Europe / US / China / Singapore</t>
  </si>
  <si>
    <t xml:space="preserve">Config modulation FM: </t>
  </si>
  <si>
    <t>Informations sur mesures pertes câbles (mesures le 20 novembre 2008)</t>
  </si>
  <si>
    <t>Config modulation AM: fréquences 433,42 ; 433,92MHz    Niveau SMR20: -50dBm     Niveau sortie câble antenne:-55,2dBm   pertes: 5,2dB</t>
  </si>
  <si>
    <t>Fréquences 426,06; 447,70; 409,98MHz     Niveau SMR20: -50dBm    Niveau sortie câble antenne: -54dBm   Pertes: 4dB</t>
  </si>
  <si>
    <t>Fréquences 868,25; 868,95; 869,85MHz     Niveau SMR20: -50dBm    Niveau sortie câble antenne: -56dBm   Pertes: 6dB</t>
  </si>
  <si>
    <t>Product without limit associated</t>
  </si>
  <si>
    <t>Liste</t>
  </si>
  <si>
    <t>V2.2  (décembre 2008) : prise en compte des sensibilités produits RTX selon GME-STD 047R1</t>
  </si>
  <si>
    <t xml:space="preserve">Information sur derniére évolution: </t>
  </si>
  <si>
    <t>RTS (AM)</t>
  </si>
  <si>
    <t>RTS (FM)</t>
  </si>
  <si>
    <t>RTX (FM)</t>
  </si>
  <si>
    <r>
      <t>RTS</t>
    </r>
    <r>
      <rPr>
        <sz val="8"/>
        <color theme="0"/>
        <rFont val="Arial"/>
        <family val="2"/>
      </rPr>
      <t xml:space="preserve"> Printed or Wire Antenna</t>
    </r>
  </si>
  <si>
    <r>
      <t xml:space="preserve">RTS </t>
    </r>
    <r>
      <rPr>
        <sz val="8"/>
        <color theme="0"/>
        <rFont val="Arial"/>
        <family val="2"/>
      </rPr>
      <t>Pairing Main Supply Antenna</t>
    </r>
  </si>
  <si>
    <r>
      <t xml:space="preserve">RTX Master </t>
    </r>
    <r>
      <rPr>
        <sz val="8"/>
        <color theme="0"/>
        <rFont val="Arial"/>
        <family val="2"/>
      </rPr>
      <t>Printed or Wire Antenna</t>
    </r>
  </si>
  <si>
    <r>
      <t>RTX Master</t>
    </r>
    <r>
      <rPr>
        <sz val="8"/>
        <color theme="0"/>
        <rFont val="Arial"/>
        <family val="2"/>
      </rPr>
      <t xml:space="preserve"> Pairing Main Supply Antenna</t>
    </r>
  </si>
  <si>
    <r>
      <t>RTX Slave</t>
    </r>
    <r>
      <rPr>
        <sz val="8"/>
        <color theme="0"/>
        <rFont val="Arial"/>
        <family val="2"/>
      </rPr>
      <t xml:space="preserve"> Printed or Wire Antenna</t>
    </r>
  </si>
  <si>
    <r>
      <t xml:space="preserve">RTX Slave </t>
    </r>
    <r>
      <rPr>
        <sz val="8"/>
        <color theme="0"/>
        <rFont val="Arial"/>
        <family val="2"/>
      </rPr>
      <t>Pairing Main Supply Antenna</t>
    </r>
  </si>
  <si>
    <t>ZIGBEE</t>
  </si>
  <si>
    <t>ZIGBEE / BLE</t>
  </si>
  <si>
    <r>
      <t xml:space="preserve">ZIGBEE Controls </t>
    </r>
    <r>
      <rPr>
        <sz val="8"/>
        <color theme="0"/>
        <rFont val="Arial"/>
        <family val="2"/>
      </rPr>
      <t>for Home Printed or Wire Antenna</t>
    </r>
  </si>
  <si>
    <r>
      <t xml:space="preserve">ZIGBEE Controls </t>
    </r>
    <r>
      <rPr>
        <sz val="8"/>
        <color theme="0"/>
        <rFont val="Arial"/>
        <family val="2"/>
      </rPr>
      <t>for Home Pairing Main Supply Antenna</t>
    </r>
  </si>
  <si>
    <r>
      <t>ZIGBEE Controls</t>
    </r>
    <r>
      <rPr>
        <sz val="8"/>
        <color theme="0"/>
        <rFont val="Arial"/>
        <family val="2"/>
      </rPr>
      <t xml:space="preserve"> for Local Printed or Wire Antenna</t>
    </r>
  </si>
  <si>
    <r>
      <t xml:space="preserve">ZIGBEE Controls </t>
    </r>
    <r>
      <rPr>
        <sz val="8"/>
        <color theme="0"/>
        <rFont val="Arial"/>
        <family val="2"/>
      </rPr>
      <t>for Local Pairing Main Supply Antenna</t>
    </r>
  </si>
  <si>
    <r>
      <t>ZIGBEE Actuators</t>
    </r>
    <r>
      <rPr>
        <sz val="8"/>
        <color theme="0"/>
        <rFont val="Arial"/>
        <family val="2"/>
      </rPr>
      <t xml:space="preserve"> Pairing Main Supply Anten</t>
    </r>
    <r>
      <rPr>
        <b/>
        <sz val="8"/>
        <color theme="0"/>
        <rFont val="Arial"/>
        <family val="2"/>
      </rPr>
      <t>na</t>
    </r>
  </si>
  <si>
    <r>
      <t>BLE Actuators &amp; Controls</t>
    </r>
    <r>
      <rPr>
        <sz val="8"/>
        <color theme="0"/>
        <rFont val="Arial"/>
        <family val="2"/>
      </rPr>
      <t xml:space="preserve"> Pairing Main Supply Anten</t>
    </r>
    <r>
      <rPr>
        <b/>
        <sz val="8"/>
        <color theme="0"/>
        <rFont val="Arial"/>
        <family val="2"/>
      </rPr>
      <t>na</t>
    </r>
  </si>
  <si>
    <r>
      <t xml:space="preserve">ZIGBEE Actuators </t>
    </r>
    <r>
      <rPr>
        <sz val="8"/>
        <color theme="0"/>
        <rFont val="Arial"/>
        <family val="2"/>
      </rPr>
      <t>Printed or Wire Antenna</t>
    </r>
  </si>
  <si>
    <r>
      <t xml:space="preserve">ZIGBEE Autonomous Actuators </t>
    </r>
    <r>
      <rPr>
        <sz val="8"/>
        <color theme="0"/>
        <rFont val="Arial"/>
        <family val="2"/>
      </rPr>
      <t>Printed or Wire Antenna</t>
    </r>
  </si>
  <si>
    <r>
      <t>ZIGBEE Autonomous Actuators</t>
    </r>
    <r>
      <rPr>
        <sz val="8"/>
        <color theme="0"/>
        <rFont val="Arial"/>
        <family val="2"/>
      </rPr>
      <t xml:space="preserve"> Antenna Coupled to DC Power Wire</t>
    </r>
  </si>
  <si>
    <r>
      <t xml:space="preserve">BLE Actuators &amp; Controls </t>
    </r>
    <r>
      <rPr>
        <sz val="8"/>
        <color theme="0"/>
        <rFont val="Arial"/>
        <family val="2"/>
      </rPr>
      <t>Printed or Wire Antenna</t>
    </r>
  </si>
  <si>
    <r>
      <t>RTS Printed or Wire Antenna</t>
    </r>
    <r>
      <rPr>
        <sz val="8"/>
        <color theme="0"/>
        <rFont val="Arial"/>
        <family val="2"/>
      </rPr>
      <t xml:space="preserve"> (Korea &amp; Japan no autonomous)</t>
    </r>
  </si>
  <si>
    <r>
      <rPr>
        <b/>
        <sz val="8"/>
        <color theme="0"/>
        <rFont val="Arial"/>
        <family val="2"/>
      </rPr>
      <t>RTS Pairing Main Supply Antenn</t>
    </r>
    <r>
      <rPr>
        <sz val="8"/>
        <color theme="0"/>
        <rFont val="Arial"/>
        <family val="2"/>
      </rPr>
      <t>a (Korea &amp; Japan no autonomous)</t>
    </r>
  </si>
  <si>
    <r>
      <rPr>
        <b/>
        <sz val="8"/>
        <color theme="0"/>
        <rFont val="Arial"/>
        <family val="2"/>
      </rPr>
      <t>RTS Printed or Wire Antenna</t>
    </r>
    <r>
      <rPr>
        <sz val="8"/>
        <color theme="0"/>
        <rFont val="Arial"/>
        <family val="2"/>
      </rPr>
      <t xml:space="preserve"> (Korea &amp; Japan autonomous)</t>
    </r>
  </si>
  <si>
    <r>
      <rPr>
        <b/>
        <sz val="8"/>
        <color theme="0"/>
        <rFont val="Arial"/>
        <family val="2"/>
      </rPr>
      <t>RTS Pairing Main Supply Antenna</t>
    </r>
    <r>
      <rPr>
        <sz val="8"/>
        <color theme="0"/>
        <rFont val="Arial"/>
        <family val="2"/>
      </rPr>
      <t xml:space="preserve"> (Korea &amp; Japan autonomous)</t>
    </r>
  </si>
  <si>
    <t>Mod PL01</t>
  </si>
  <si>
    <t>Choose Kind of  Antena</t>
  </si>
  <si>
    <t>Comment</t>
  </si>
  <si>
    <t>*: according calibration antenna and wire loss measurement of October 2022</t>
  </si>
  <si>
    <t>RTX Slave Pairing Main Supply Antenna</t>
  </si>
  <si>
    <t>No 1</t>
  </si>
  <si>
    <t>No2</t>
  </si>
  <si>
    <t>RTS Pairing Main Supply Antenna (Korea &amp; Japan autonomous)</t>
  </si>
  <si>
    <t>RTX Master Printed or Wire Antenna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</si>
</sst>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00"/>
    <numFmt numFmtId="165" formatCode="#,##0\ &quot;dBm&quot;"/>
    <numFmt numFmtId="166" formatCode="#,##0\ &quot;°&quot;"/>
    <numFmt numFmtId="167" formatCode="#,##0\ &quot;µV/m&quot;"/>
    <numFmt numFmtId="168" formatCode="#,##0\ &quot;dBµV/m&quot;"/>
    <numFmt numFmtId="169" formatCode="#,##0.00\ &quot;dB&quot;"/>
    <numFmt numFmtId="170" formatCode="#,##0.00\ &quot;dBm-1&quot;"/>
    <numFmt numFmtId="171" formatCode="#,##0.000\ &quot;MHz&quot;"/>
    <numFmt numFmtId="172" formatCode="#,##0\ &quot;meters&quot;"/>
    <numFmt numFmtId="173" formatCode="#,##0\ &quot;dBm)&quot;"/>
    <numFmt numFmtId="174" formatCode="#,##0.0\ &quot;dB&quot;"/>
  </numFmts>
  <fonts count="25" x14ac:knownFonts="1">
    <font>
      <sz val="10"/>
      <name val="Arial"/>
    </font>
    <font>
      <sz val="8"/>
      <name val="Arial"/>
      <family val="2"/>
    </font>
    <font>
      <sz val="8"/>
      <color indexed="55"/>
      <name val="Arial"/>
      <family val="2"/>
    </font>
    <font>
      <sz val="8"/>
      <color indexed="23"/>
      <name val="Arial"/>
      <family val="2"/>
    </font>
    <font>
      <b/>
      <sz val="8"/>
      <name val="Arial"/>
      <family val="2"/>
    </font>
    <font>
      <b/>
      <sz val="8"/>
      <color indexed="55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Arial"/>
      <family val="2"/>
    </font>
    <font>
      <b/>
      <u/>
      <sz val="8"/>
      <name val="Arial"/>
      <family val="2"/>
    </font>
    <font>
      <b/>
      <sz val="8"/>
      <color indexed="61"/>
      <name val="Arial"/>
      <family val="2"/>
    </font>
    <font>
      <sz val="8"/>
      <name val="Times New Roman"/>
      <family val="1"/>
    </font>
    <font>
      <b/>
      <sz val="8"/>
      <color indexed="12"/>
      <name val="Arial"/>
      <family val="2"/>
    </font>
    <font>
      <b/>
      <vertAlign val="subscript"/>
      <sz val="8"/>
      <color indexed="55"/>
      <name val="Arial"/>
      <family val="2"/>
    </font>
    <font>
      <b/>
      <sz val="16"/>
      <name val="Arial"/>
      <family val="2"/>
    </font>
    <font>
      <b/>
      <u/>
      <sz val="8"/>
      <color indexed="12"/>
      <name val="Arial"/>
      <family val="2"/>
    </font>
    <font>
      <sz val="7"/>
      <color indexed="23"/>
      <name val="Arial"/>
      <family val="2"/>
    </font>
    <font>
      <vertAlign val="subscript"/>
      <sz val="8"/>
      <name val="Arial"/>
      <family val="2"/>
    </font>
    <font>
      <vertAlign val="superscript"/>
      <sz val="8"/>
      <name val="Arial"/>
      <family val="2"/>
    </font>
    <font>
      <b/>
      <i/>
      <sz val="8"/>
      <color indexed="55"/>
      <name val="Arial"/>
      <family val="2"/>
    </font>
    <font>
      <sz val="9"/>
      <color indexed="55"/>
      <name val="Arial"/>
      <family val="2"/>
    </font>
    <font>
      <sz val="8"/>
      <color theme="0"/>
      <name val="Arial"/>
      <family val="2"/>
    </font>
    <font>
      <b/>
      <sz val="8"/>
      <color theme="0"/>
      <name val="Arial"/>
      <family val="2"/>
    </font>
    <font>
      <sz val="8"/>
      <color theme="1"/>
      <name val="Arial"/>
      <family val="2"/>
    </font>
    <font>
      <b/>
      <sz val="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34998626667073579"/>
        <bgColor indexed="64"/>
      </patternFill>
    </fill>
  </fills>
  <borders count="6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</borders>
  <cellStyleXfs count="1">
    <xf numFmtId="0" fontId="0" fillId="0" borderId="0"/>
  </cellStyleXfs>
  <cellXfs count="332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Alignment="1">
      <alignment horizontal="center" vertical="center" wrapText="1"/>
    </xf>
    <xf numFmtId="0" fontId="1" fillId="2" borderId="0" xfId="0" applyNumberFormat="1" applyFont="1" applyFill="1" applyAlignment="1">
      <alignment wrapText="1"/>
    </xf>
    <xf numFmtId="0" fontId="1" fillId="2" borderId="0" xfId="0" applyNumberFormat="1" applyFont="1" applyFill="1"/>
    <xf numFmtId="0" fontId="1" fillId="2" borderId="0" xfId="0" applyNumberFormat="1" applyFont="1" applyFill="1" applyAlignment="1">
      <alignment horizontal="center" vertical="center"/>
    </xf>
    <xf numFmtId="0" fontId="8" fillId="2" borderId="0" xfId="0" applyNumberFormat="1" applyFont="1" applyFill="1" applyBorder="1" applyAlignment="1">
      <alignment wrapText="1"/>
    </xf>
    <xf numFmtId="0" fontId="8" fillId="2" borderId="0" xfId="0" applyNumberFormat="1" applyFont="1" applyFill="1" applyAlignment="1">
      <alignment wrapText="1"/>
    </xf>
    <xf numFmtId="0" fontId="8" fillId="2" borderId="0" xfId="0" applyNumberFormat="1" applyFont="1" applyFill="1"/>
    <xf numFmtId="0" fontId="8" fillId="2" borderId="0" xfId="0" applyNumberFormat="1" applyFont="1" applyFill="1" applyBorder="1"/>
    <xf numFmtId="0" fontId="8" fillId="2" borderId="0" xfId="0" applyNumberFormat="1" applyFont="1" applyFill="1" applyBorder="1" applyAlignment="1">
      <alignment horizontal="center" wrapText="1"/>
    </xf>
    <xf numFmtId="0" fontId="8" fillId="2" borderId="0" xfId="0" applyNumberFormat="1" applyFont="1" applyFill="1" applyAlignment="1">
      <alignment horizontal="center" wrapText="1"/>
    </xf>
    <xf numFmtId="0" fontId="9" fillId="2" borderId="0" xfId="0" applyNumberFormat="1" applyFont="1" applyFill="1" applyBorder="1"/>
    <xf numFmtId="0" fontId="16" fillId="2" borderId="0" xfId="0" applyFont="1" applyFill="1" applyBorder="1" applyAlignment="1">
      <alignment vertical="top"/>
    </xf>
    <xf numFmtId="1" fontId="2" fillId="2" borderId="1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wrapText="1"/>
    </xf>
    <xf numFmtId="0" fontId="1" fillId="2" borderId="9" xfId="0" applyNumberFormat="1" applyFont="1" applyFill="1" applyBorder="1" applyAlignment="1">
      <alignment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1" fillId="2" borderId="11" xfId="0" applyNumberFormat="1" applyFont="1" applyFill="1" applyBorder="1" applyAlignment="1">
      <alignment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8" fillId="2" borderId="11" xfId="0" applyNumberFormat="1" applyFont="1" applyFill="1" applyBorder="1" applyAlignment="1">
      <alignment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2" fillId="2" borderId="13" xfId="0" applyNumberFormat="1" applyFont="1" applyFill="1" applyBorder="1" applyAlignment="1">
      <alignment horizontal="center" vertical="center" wrapText="1"/>
    </xf>
    <xf numFmtId="0" fontId="8" fillId="2" borderId="13" xfId="0" applyNumberFormat="1" applyFont="1" applyFill="1" applyBorder="1"/>
    <xf numFmtId="0" fontId="1" fillId="2" borderId="13" xfId="0" applyNumberFormat="1" applyFont="1" applyFill="1" applyBorder="1" applyAlignment="1">
      <alignment horizontal="center" vertical="center" wrapText="1"/>
    </xf>
    <xf numFmtId="0" fontId="8" fillId="2" borderId="13" xfId="0" applyNumberFormat="1" applyFont="1" applyFill="1" applyBorder="1" applyAlignment="1">
      <alignment horizontal="center" wrapText="1"/>
    </xf>
    <xf numFmtId="0" fontId="8" fillId="2" borderId="13" xfId="0" applyNumberFormat="1" applyFont="1" applyFill="1" applyBorder="1" applyAlignment="1">
      <alignment wrapText="1"/>
    </xf>
    <xf numFmtId="0" fontId="8" fillId="2" borderId="14" xfId="0" applyNumberFormat="1" applyFont="1" applyFill="1" applyBorder="1" applyAlignment="1">
      <alignment wrapText="1"/>
    </xf>
    <xf numFmtId="0" fontId="9" fillId="2" borderId="0" xfId="0" applyFont="1" applyFill="1" applyBorder="1"/>
    <xf numFmtId="0" fontId="8" fillId="2" borderId="15" xfId="0" applyNumberFormat="1" applyFont="1" applyFill="1" applyBorder="1"/>
    <xf numFmtId="0" fontId="9" fillId="2" borderId="0" xfId="0" applyNumberFormat="1" applyFont="1" applyFill="1" applyBorder="1" applyAlignment="1" applyProtection="1"/>
    <xf numFmtId="165" fontId="1" fillId="2" borderId="17" xfId="0" applyNumberFormat="1" applyFont="1" applyFill="1" applyBorder="1" applyAlignment="1">
      <alignment horizontal="center" vertical="center"/>
    </xf>
    <xf numFmtId="165" fontId="1" fillId="2" borderId="18" xfId="0" applyNumberFormat="1" applyFont="1" applyFill="1" applyBorder="1" applyAlignment="1">
      <alignment horizontal="center" vertical="center"/>
    </xf>
    <xf numFmtId="165" fontId="1" fillId="2" borderId="19" xfId="0" applyNumberFormat="1" applyFont="1" applyFill="1" applyBorder="1" applyAlignment="1">
      <alignment horizontal="center" vertical="center"/>
    </xf>
    <xf numFmtId="165" fontId="1" fillId="3" borderId="20" xfId="0" applyNumberFormat="1" applyFont="1" applyFill="1" applyBorder="1" applyAlignment="1">
      <alignment horizontal="center" vertical="center"/>
    </xf>
    <xf numFmtId="165" fontId="1" fillId="3" borderId="21" xfId="0" applyNumberFormat="1" applyFont="1" applyFill="1" applyBorder="1" applyAlignment="1">
      <alignment horizontal="center" vertical="center"/>
    </xf>
    <xf numFmtId="165" fontId="1" fillId="2" borderId="25" xfId="0" applyNumberFormat="1" applyFont="1" applyFill="1" applyBorder="1" applyAlignment="1">
      <alignment horizontal="center" vertical="center"/>
    </xf>
    <xf numFmtId="0" fontId="20" fillId="2" borderId="0" xfId="0" applyNumberFormat="1" applyFont="1" applyFill="1" applyAlignment="1">
      <alignment wrapText="1"/>
    </xf>
    <xf numFmtId="0" fontId="20" fillId="2" borderId="0" xfId="0" applyNumberFormat="1" applyFont="1" applyFill="1"/>
    <xf numFmtId="0" fontId="4" fillId="2" borderId="0" xfId="0" applyNumberFormat="1" applyFont="1" applyFill="1" applyBorder="1" applyAlignment="1">
      <alignment horizontal="left" vertical="center"/>
    </xf>
    <xf numFmtId="0" fontId="21" fillId="2" borderId="1" xfId="0" applyNumberFormat="1" applyFont="1" applyFill="1" applyBorder="1" applyAlignment="1">
      <alignment horizontal="center" vertical="center" wrapText="1"/>
    </xf>
    <xf numFmtId="164" fontId="21" fillId="2" borderId="1" xfId="0" applyNumberFormat="1" applyFont="1" applyFill="1" applyBorder="1" applyAlignment="1">
      <alignment horizontal="center" vertical="center" wrapText="1"/>
    </xf>
    <xf numFmtId="0" fontId="21" fillId="2" borderId="0" xfId="0" applyNumberFormat="1" applyFont="1" applyFill="1" applyBorder="1"/>
    <xf numFmtId="0" fontId="21" fillId="2" borderId="0" xfId="0" applyNumberFormat="1" applyFont="1" applyFill="1" applyBorder="1" applyAlignment="1">
      <alignment horizontal="center" vertical="center" wrapText="1"/>
    </xf>
    <xf numFmtId="0" fontId="21" fillId="2" borderId="0" xfId="0" applyNumberFormat="1" applyFont="1" applyFill="1" applyBorder="1" applyAlignment="1">
      <alignment horizontal="center" wrapText="1"/>
    </xf>
    <xf numFmtId="0" fontId="21" fillId="2" borderId="0" xfId="0" applyNumberFormat="1" applyFont="1" applyFill="1" applyBorder="1" applyAlignment="1">
      <alignment wrapText="1"/>
    </xf>
    <xf numFmtId="0" fontId="21" fillId="2" borderId="0" xfId="0" applyNumberFormat="1" applyFont="1" applyFill="1"/>
    <xf numFmtId="0" fontId="21" fillId="2" borderId="32" xfId="0" applyNumberFormat="1" applyFont="1" applyFill="1" applyBorder="1" applyAlignment="1">
      <alignment vertical="top"/>
    </xf>
    <xf numFmtId="0" fontId="21" fillId="2" borderId="33" xfId="0" applyNumberFormat="1" applyFont="1" applyFill="1" applyBorder="1" applyAlignment="1">
      <alignment horizontal="center" vertical="center" wrapText="1"/>
    </xf>
    <xf numFmtId="0" fontId="21" fillId="2" borderId="34" xfId="0" applyNumberFormat="1" applyFont="1" applyFill="1" applyBorder="1" applyAlignment="1">
      <alignment horizontal="center" wrapText="1"/>
    </xf>
    <xf numFmtId="0" fontId="21" fillId="2" borderId="1" xfId="0" quotePrefix="1" applyNumberFormat="1" applyFont="1" applyFill="1" applyBorder="1" applyAlignment="1">
      <alignment horizontal="center" vertical="center"/>
    </xf>
    <xf numFmtId="0" fontId="21" fillId="2" borderId="1" xfId="0" applyNumberFormat="1" applyFont="1" applyFill="1" applyBorder="1" applyAlignment="1">
      <alignment horizontal="center" vertical="center"/>
    </xf>
    <xf numFmtId="0" fontId="22" fillId="2" borderId="10" xfId="0" applyNumberFormat="1" applyFont="1" applyFill="1" applyBorder="1" applyAlignment="1">
      <alignment horizontal="left" vertical="center"/>
    </xf>
    <xf numFmtId="0" fontId="21" fillId="4" borderId="0" xfId="0" applyNumberFormat="1" applyFont="1" applyFill="1" applyBorder="1" applyAlignment="1">
      <alignment horizontal="left" vertical="center" wrapText="1"/>
    </xf>
    <xf numFmtId="0" fontId="21" fillId="2" borderId="11" xfId="0" applyNumberFormat="1" applyFont="1" applyFill="1" applyBorder="1" applyAlignment="1">
      <alignment horizontal="center" wrapText="1"/>
    </xf>
    <xf numFmtId="0" fontId="21" fillId="2" borderId="0" xfId="0" applyNumberFormat="1" applyFont="1" applyFill="1" applyAlignment="1">
      <alignment horizontal="center" vertical="center" wrapText="1"/>
    </xf>
    <xf numFmtId="0" fontId="21" fillId="2" borderId="11" xfId="0" applyNumberFormat="1" applyFont="1" applyFill="1" applyBorder="1" applyAlignment="1">
      <alignment wrapText="1"/>
    </xf>
    <xf numFmtId="0" fontId="21" fillId="2" borderId="11" xfId="0" applyNumberFormat="1" applyFont="1" applyFill="1" applyBorder="1" applyAlignment="1">
      <alignment horizontal="center" vertical="center" wrapText="1"/>
    </xf>
    <xf numFmtId="0" fontId="22" fillId="2" borderId="0" xfId="0" applyNumberFormat="1" applyFont="1" applyFill="1" applyBorder="1" applyAlignment="1">
      <alignment horizontal="left" vertical="center"/>
    </xf>
    <xf numFmtId="0" fontId="22" fillId="2" borderId="12" xfId="0" quotePrefix="1" applyNumberFormat="1" applyFont="1" applyFill="1" applyBorder="1" applyAlignment="1">
      <alignment horizontal="left" vertical="center"/>
    </xf>
    <xf numFmtId="0" fontId="21" fillId="2" borderId="1" xfId="0" quotePrefix="1" applyNumberFormat="1" applyFont="1" applyFill="1" applyBorder="1" applyAlignment="1">
      <alignment horizontal="center" vertical="center" wrapText="1"/>
    </xf>
    <xf numFmtId="0" fontId="21" fillId="4" borderId="8" xfId="0" applyNumberFormat="1" applyFont="1" applyFill="1" applyBorder="1" applyAlignment="1">
      <alignment horizontal="left" vertical="center" wrapText="1"/>
    </xf>
    <xf numFmtId="0" fontId="21" fillId="2" borderId="9" xfId="0" applyNumberFormat="1" applyFont="1" applyFill="1" applyBorder="1" applyAlignment="1">
      <alignment horizontal="center" wrapText="1"/>
    </xf>
    <xf numFmtId="0" fontId="1" fillId="2" borderId="14" xfId="0" applyNumberFormat="1" applyFont="1" applyFill="1" applyBorder="1" applyAlignment="1">
      <alignment horizontal="center" vertical="center" wrapText="1"/>
    </xf>
    <xf numFmtId="0" fontId="22" fillId="2" borderId="10" xfId="0" quotePrefix="1" applyNumberFormat="1" applyFont="1" applyFill="1" applyBorder="1" applyAlignment="1">
      <alignment horizontal="left" vertical="center"/>
    </xf>
    <xf numFmtId="0" fontId="22" fillId="2" borderId="7" xfId="0" quotePrefix="1" applyNumberFormat="1" applyFont="1" applyFill="1" applyBorder="1" applyAlignment="1">
      <alignment horizontal="left" vertical="center"/>
    </xf>
    <xf numFmtId="0" fontId="1" fillId="2" borderId="8" xfId="0" applyNumberFormat="1" applyFont="1" applyFill="1" applyBorder="1" applyAlignment="1">
      <alignment horizontal="center" vertical="center" wrapText="1"/>
    </xf>
    <xf numFmtId="0" fontId="21" fillId="2" borderId="33" xfId="0" applyNumberFormat="1" applyFont="1" applyFill="1" applyBorder="1" applyAlignment="1">
      <alignment horizontal="center" wrapText="1"/>
    </xf>
    <xf numFmtId="0" fontId="21" fillId="2" borderId="8" xfId="0" applyNumberFormat="1" applyFont="1" applyFill="1" applyBorder="1" applyAlignment="1">
      <alignment horizontal="center" wrapText="1"/>
    </xf>
    <xf numFmtId="0" fontId="1" fillId="2" borderId="0" xfId="0" applyNumberFormat="1" applyFont="1" applyFill="1" applyBorder="1" applyAlignment="1" applyProtection="1">
      <alignment horizontal="left"/>
    </xf>
    <xf numFmtId="0" fontId="1" fillId="2" borderId="0" xfId="0" applyNumberFormat="1" applyFont="1" applyFill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center" vertical="center"/>
    </xf>
    <xf numFmtId="0" fontId="9" fillId="2" borderId="0" xfId="0" applyNumberFormat="1" applyFont="1" applyFill="1" applyBorder="1" applyAlignment="1" applyProtection="1">
      <alignment horizontal="right" vertical="center"/>
    </xf>
    <xf numFmtId="0" fontId="1" fillId="2" borderId="0" xfId="0" applyNumberFormat="1" applyFont="1" applyFill="1" applyBorder="1" applyAlignment="1" applyProtection="1"/>
    <xf numFmtId="0" fontId="10" fillId="2" borderId="0" xfId="0" applyNumberFormat="1" applyFont="1" applyFill="1" applyBorder="1" applyAlignment="1" applyProtection="1">
      <alignment horizontal="left" vertical="center"/>
    </xf>
    <xf numFmtId="0" fontId="1" fillId="2" borderId="0" xfId="0" applyNumberFormat="1" applyFont="1" applyFill="1" applyBorder="1" applyAlignment="1" applyProtection="1">
      <alignment horizontal="center" vertical="center" wrapText="1"/>
    </xf>
    <xf numFmtId="0" fontId="1" fillId="2" borderId="0" xfId="0" applyNumberFormat="1" applyFont="1" applyFill="1" applyProtection="1"/>
    <xf numFmtId="0" fontId="1" fillId="2" borderId="0" xfId="0" applyNumberFormat="1" applyFont="1" applyFill="1" applyBorder="1" applyProtection="1"/>
    <xf numFmtId="0" fontId="1" fillId="2" borderId="0" xfId="0" applyNumberFormat="1" applyFont="1" applyFill="1" applyBorder="1" applyAlignment="1" applyProtection="1">
      <alignment vertical="top"/>
    </xf>
    <xf numFmtId="0" fontId="1" fillId="2" borderId="0" xfId="0" applyNumberFormat="1" applyFont="1" applyFill="1" applyBorder="1" applyAlignment="1" applyProtection="1">
      <alignment vertical="center" wrapText="1"/>
    </xf>
    <xf numFmtId="172" fontId="1" fillId="2" borderId="0" xfId="0" applyNumberFormat="1" applyFont="1" applyFill="1" applyBorder="1" applyAlignment="1" applyProtection="1">
      <alignment horizontal="left"/>
    </xf>
    <xf numFmtId="0" fontId="8" fillId="2" borderId="0" xfId="0" applyNumberFormat="1" applyFont="1" applyFill="1" applyBorder="1" applyProtection="1"/>
    <xf numFmtId="0" fontId="11" fillId="2" borderId="0" xfId="0" applyNumberFormat="1" applyFont="1" applyFill="1" applyBorder="1" applyProtection="1"/>
    <xf numFmtId="0" fontId="8" fillId="2" borderId="0" xfId="0" applyNumberFormat="1" applyFont="1" applyFill="1" applyBorder="1" applyAlignment="1" applyProtection="1">
      <alignment vertical="top"/>
    </xf>
    <xf numFmtId="0" fontId="16" fillId="2" borderId="0" xfId="0" quotePrefix="1" applyFont="1" applyFill="1" applyBorder="1" applyAlignment="1" applyProtection="1">
      <alignment horizontal="left" vertical="center"/>
    </xf>
    <xf numFmtId="0" fontId="9" fillId="2" borderId="0" xfId="0" applyNumberFormat="1" applyFont="1" applyFill="1" applyBorder="1" applyAlignment="1" applyProtection="1">
      <alignment vertical="center"/>
    </xf>
    <xf numFmtId="0" fontId="12" fillId="2" borderId="0" xfId="0" applyNumberFormat="1" applyFont="1" applyFill="1" applyBorder="1" applyAlignment="1" applyProtection="1">
      <alignment horizontal="right" vertical="top"/>
    </xf>
    <xf numFmtId="0" fontId="12" fillId="2" borderId="0" xfId="0" applyFont="1" applyFill="1" applyBorder="1" applyAlignment="1" applyProtection="1">
      <alignment horizontal="right" vertical="top"/>
    </xf>
    <xf numFmtId="0" fontId="8" fillId="2" borderId="0" xfId="0" applyFont="1" applyFill="1" applyBorder="1" applyAlignment="1" applyProtection="1">
      <alignment vertical="top"/>
    </xf>
    <xf numFmtId="0" fontId="8" fillId="2" borderId="0" xfId="0" applyFont="1" applyFill="1" applyBorder="1" applyProtection="1"/>
    <xf numFmtId="0" fontId="9" fillId="2" borderId="0" xfId="0" applyNumberFormat="1" applyFont="1" applyFill="1" applyBorder="1" applyAlignment="1" applyProtection="1">
      <alignment horizontal="left" vertical="center"/>
    </xf>
    <xf numFmtId="0" fontId="9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8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 wrapText="1"/>
    </xf>
    <xf numFmtId="0" fontId="4" fillId="2" borderId="16" xfId="0" applyNumberFormat="1" applyFont="1" applyFill="1" applyBorder="1" applyAlignment="1" applyProtection="1">
      <alignment horizontal="center" vertical="center" wrapText="1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22" xfId="0" applyNumberFormat="1" applyFont="1" applyFill="1" applyBorder="1" applyAlignment="1" applyProtection="1">
      <alignment horizontal="center" vertical="center" wrapText="1"/>
    </xf>
    <xf numFmtId="0" fontId="19" fillId="0" borderId="24" xfId="0" applyNumberFormat="1" applyFont="1" applyBorder="1" applyAlignment="1" applyProtection="1">
      <alignment horizontal="center" vertical="center" wrapText="1"/>
    </xf>
    <xf numFmtId="0" fontId="1" fillId="2" borderId="0" xfId="0" quotePrefix="1" applyNumberFormat="1" applyFont="1" applyFill="1" applyBorder="1" applyAlignment="1" applyProtection="1">
      <alignment horizontal="left"/>
    </xf>
    <xf numFmtId="0" fontId="9" fillId="2" borderId="0" xfId="0" applyNumberFormat="1" applyFont="1" applyFill="1" applyBorder="1" applyAlignment="1" applyProtection="1">
      <alignment vertical="top"/>
    </xf>
    <xf numFmtId="0" fontId="9" fillId="2" borderId="3" xfId="0" applyNumberFormat="1" applyFont="1" applyFill="1" applyBorder="1" applyAlignment="1" applyProtection="1">
      <alignment vertical="top"/>
    </xf>
    <xf numFmtId="0" fontId="1" fillId="2" borderId="2" xfId="0" applyNumberFormat="1" applyFont="1" applyFill="1" applyBorder="1" applyProtection="1"/>
    <xf numFmtId="0" fontId="9" fillId="2" borderId="2" xfId="0" applyNumberFormat="1" applyFont="1" applyFill="1" applyBorder="1" applyAlignment="1" applyProtection="1">
      <alignment horizontal="right" vertical="center"/>
    </xf>
    <xf numFmtId="0" fontId="1" fillId="2" borderId="2" xfId="0" applyNumberFormat="1" applyFont="1" applyFill="1" applyBorder="1" applyAlignment="1" applyProtection="1"/>
    <xf numFmtId="0" fontId="1" fillId="2" borderId="4" xfId="0" applyNumberFormat="1" applyFont="1" applyFill="1" applyBorder="1" applyAlignment="1" applyProtection="1">
      <alignment horizontal="center" vertical="center"/>
    </xf>
    <xf numFmtId="0" fontId="1" fillId="2" borderId="5" xfId="0" applyNumberFormat="1" applyFont="1" applyFill="1" applyBorder="1" applyAlignment="1" applyProtection="1">
      <alignment horizontal="center" vertical="center"/>
    </xf>
    <xf numFmtId="0" fontId="1" fillId="2" borderId="6" xfId="0" applyNumberFormat="1" applyFont="1" applyFill="1" applyBorder="1" applyAlignment="1" applyProtection="1">
      <alignment horizontal="center" vertical="center"/>
    </xf>
    <xf numFmtId="0" fontId="9" fillId="2" borderId="6" xfId="0" applyNumberFormat="1" applyFont="1" applyFill="1" applyBorder="1" applyAlignment="1" applyProtection="1">
      <alignment horizontal="right" vertical="center"/>
    </xf>
    <xf numFmtId="0" fontId="1" fillId="2" borderId="6" xfId="0" applyNumberFormat="1" applyFont="1" applyFill="1" applyBorder="1" applyAlignment="1" applyProtection="1"/>
    <xf numFmtId="165" fontId="1" fillId="2" borderId="23" xfId="0" applyNumberFormat="1" applyFont="1" applyFill="1" applyBorder="1" applyAlignment="1" applyProtection="1">
      <alignment horizontal="center" vertical="center"/>
      <protection locked="0"/>
    </xf>
    <xf numFmtId="165" fontId="1" fillId="2" borderId="23" xfId="0" quotePrefix="1" applyNumberFormat="1" applyFont="1" applyFill="1" applyBorder="1" applyAlignment="1" applyProtection="1">
      <alignment horizontal="center" vertical="center"/>
      <protection locked="0"/>
    </xf>
    <xf numFmtId="165" fontId="1" fillId="2" borderId="23" xfId="0" quotePrefix="1" applyNumberFormat="1" applyFont="1" applyFill="1" applyBorder="1" applyAlignment="1" applyProtection="1">
      <alignment horizontal="left" vertical="center"/>
      <protection locked="0"/>
    </xf>
    <xf numFmtId="165" fontId="1" fillId="2" borderId="26" xfId="0" applyNumberFormat="1" applyFont="1" applyFill="1" applyBorder="1" applyAlignment="1" applyProtection="1">
      <alignment horizontal="center" vertical="center"/>
      <protection locked="0"/>
    </xf>
    <xf numFmtId="165" fontId="23" fillId="6" borderId="27" xfId="0" applyNumberFormat="1" applyFont="1" applyFill="1" applyBorder="1" applyAlignment="1" applyProtection="1">
      <alignment horizontal="center" vertical="center"/>
      <protection locked="0"/>
    </xf>
    <xf numFmtId="165" fontId="23" fillId="6" borderId="28" xfId="0" applyNumberFormat="1" applyFont="1" applyFill="1" applyBorder="1" applyAlignment="1" applyProtection="1">
      <alignment horizontal="center" vertical="center"/>
      <protection locked="0"/>
    </xf>
    <xf numFmtId="165" fontId="23" fillId="6" borderId="29" xfId="0" applyNumberFormat="1" applyFont="1" applyFill="1" applyBorder="1" applyAlignment="1" applyProtection="1">
      <alignment horizontal="center" vertical="center"/>
      <protection locked="0"/>
    </xf>
    <xf numFmtId="165" fontId="23" fillId="6" borderId="31" xfId="0" applyNumberFormat="1" applyFont="1" applyFill="1" applyBorder="1" applyAlignment="1">
      <alignment horizontal="center" vertical="center"/>
    </xf>
    <xf numFmtId="165" fontId="23" fillId="6" borderId="28" xfId="0" applyNumberFormat="1" applyFont="1" applyFill="1" applyBorder="1" applyAlignment="1">
      <alignment horizontal="center" vertical="center"/>
    </xf>
    <xf numFmtId="165" fontId="23" fillId="6" borderId="30" xfId="0" applyNumberFormat="1" applyFont="1" applyFill="1" applyBorder="1" applyAlignment="1">
      <alignment horizontal="center" vertical="center"/>
    </xf>
    <xf numFmtId="165" fontId="21" fillId="6" borderId="27" xfId="0" applyNumberFormat="1" applyFont="1" applyFill="1" applyBorder="1" applyAlignment="1" applyProtection="1">
      <alignment horizontal="center" vertical="center"/>
      <protection locked="0"/>
    </xf>
    <xf numFmtId="165" fontId="21" fillId="6" borderId="28" xfId="0" applyNumberFormat="1" applyFont="1" applyFill="1" applyBorder="1" applyAlignment="1" applyProtection="1">
      <alignment horizontal="center" vertical="center"/>
      <protection locked="0"/>
    </xf>
    <xf numFmtId="165" fontId="21" fillId="6" borderId="29" xfId="0" applyNumberFormat="1" applyFont="1" applyFill="1" applyBorder="1" applyAlignment="1" applyProtection="1">
      <alignment horizontal="center" vertical="center"/>
      <protection locked="0"/>
    </xf>
    <xf numFmtId="165" fontId="21" fillId="6" borderId="31" xfId="0" applyNumberFormat="1" applyFont="1" applyFill="1" applyBorder="1" applyAlignment="1">
      <alignment horizontal="center" vertical="center"/>
    </xf>
    <xf numFmtId="165" fontId="21" fillId="6" borderId="28" xfId="0" applyNumberFormat="1" applyFont="1" applyFill="1" applyBorder="1" applyAlignment="1">
      <alignment horizontal="center" vertical="center"/>
    </xf>
    <xf numFmtId="165" fontId="21" fillId="6" borderId="30" xfId="0" applyNumberFormat="1" applyFont="1" applyFill="1" applyBorder="1" applyAlignment="1">
      <alignment horizontal="center" vertical="center"/>
    </xf>
    <xf numFmtId="0" fontId="21" fillId="2" borderId="10" xfId="0" quotePrefix="1" applyNumberFormat="1" applyFont="1" applyFill="1" applyBorder="1" applyAlignment="1">
      <alignment horizontal="left" vertical="center"/>
    </xf>
    <xf numFmtId="0" fontId="3" fillId="2" borderId="11" xfId="0" quotePrefix="1" applyNumberFormat="1" applyFont="1" applyFill="1" applyBorder="1" applyAlignment="1">
      <alignment horizontal="center" vertical="center" wrapText="1"/>
    </xf>
    <xf numFmtId="0" fontId="1" fillId="2" borderId="0" xfId="0" applyNumberFormat="1" applyFont="1" applyFill="1" applyBorder="1" applyAlignment="1" applyProtection="1">
      <alignment horizontal="left"/>
    </xf>
    <xf numFmtId="0" fontId="1" fillId="2" borderId="0" xfId="0" applyNumberFormat="1" applyFont="1" applyFill="1" applyBorder="1" applyAlignment="1" applyProtection="1"/>
    <xf numFmtId="0" fontId="1" fillId="7" borderId="7" xfId="0" applyNumberFormat="1" applyFont="1" applyFill="1" applyBorder="1" applyAlignment="1">
      <alignment horizontal="center" vertical="center" wrapText="1"/>
    </xf>
    <xf numFmtId="0" fontId="1" fillId="7" borderId="8" xfId="0" applyNumberFormat="1" applyFont="1" applyFill="1" applyBorder="1" applyAlignment="1">
      <alignment horizontal="center" vertical="center" wrapText="1"/>
    </xf>
    <xf numFmtId="0" fontId="1" fillId="7" borderId="8" xfId="0" applyNumberFormat="1" applyFont="1" applyFill="1" applyBorder="1" applyAlignment="1">
      <alignment horizontal="center" wrapText="1"/>
    </xf>
    <xf numFmtId="0" fontId="1" fillId="7" borderId="9" xfId="0" applyNumberFormat="1" applyFont="1" applyFill="1" applyBorder="1" applyAlignment="1">
      <alignment wrapText="1"/>
    </xf>
    <xf numFmtId="0" fontId="1" fillId="7" borderId="0" xfId="0" applyNumberFormat="1" applyFont="1" applyFill="1" applyAlignment="1">
      <alignment wrapText="1"/>
    </xf>
    <xf numFmtId="0" fontId="1" fillId="7" borderId="10" xfId="0" applyNumberFormat="1" applyFont="1" applyFill="1" applyBorder="1" applyAlignment="1">
      <alignment horizontal="center" vertical="center" wrapText="1"/>
    </xf>
    <xf numFmtId="0" fontId="1" fillId="7" borderId="11" xfId="0" applyNumberFormat="1" applyFont="1" applyFill="1" applyBorder="1" applyAlignment="1">
      <alignment wrapText="1"/>
    </xf>
    <xf numFmtId="0" fontId="21" fillId="7" borderId="1" xfId="0" applyNumberFormat="1" applyFont="1" applyFill="1" applyBorder="1" applyAlignment="1">
      <alignment horizontal="center" vertical="center" wrapText="1"/>
    </xf>
    <xf numFmtId="0" fontId="21" fillId="7" borderId="1" xfId="0" quotePrefix="1" applyNumberFormat="1" applyFont="1" applyFill="1" applyBorder="1" applyAlignment="1">
      <alignment horizontal="center" vertical="center" wrapText="1"/>
    </xf>
    <xf numFmtId="164" fontId="21" fillId="7" borderId="1" xfId="0" applyNumberFormat="1" applyFont="1" applyFill="1" applyBorder="1" applyAlignment="1">
      <alignment horizontal="center" vertical="center" wrapText="1"/>
    </xf>
    <xf numFmtId="0" fontId="3" fillId="7" borderId="11" xfId="0" quotePrefix="1" applyNumberFormat="1" applyFont="1" applyFill="1" applyBorder="1" applyAlignment="1">
      <alignment horizontal="center" vertical="center" wrapText="1"/>
    </xf>
    <xf numFmtId="0" fontId="1" fillId="7" borderId="0" xfId="0" applyNumberFormat="1" applyFont="1" applyFill="1" applyAlignment="1">
      <alignment horizontal="center" vertical="center" wrapText="1"/>
    </xf>
    <xf numFmtId="0" fontId="1" fillId="7" borderId="11" xfId="0" applyNumberFormat="1" applyFont="1" applyFill="1" applyBorder="1" applyAlignment="1">
      <alignment horizontal="center" vertical="center" wrapText="1"/>
    </xf>
    <xf numFmtId="0" fontId="21" fillId="7" borderId="0" xfId="0" applyNumberFormat="1" applyFont="1" applyFill="1" applyBorder="1"/>
    <xf numFmtId="0" fontId="21" fillId="7" borderId="0" xfId="0" applyNumberFormat="1" applyFont="1" applyFill="1" applyBorder="1" applyAlignment="1">
      <alignment horizontal="center" vertical="center" wrapText="1"/>
    </xf>
    <xf numFmtId="0" fontId="21" fillId="7" borderId="0" xfId="0" applyNumberFormat="1" applyFont="1" applyFill="1" applyBorder="1" applyAlignment="1">
      <alignment horizontal="center" wrapText="1"/>
    </xf>
    <xf numFmtId="0" fontId="21" fillId="7" borderId="0" xfId="0" applyNumberFormat="1" applyFont="1" applyFill="1" applyBorder="1" applyAlignment="1">
      <alignment wrapText="1"/>
    </xf>
    <xf numFmtId="0" fontId="21" fillId="7" borderId="0" xfId="0" applyNumberFormat="1" applyFont="1" applyFill="1"/>
    <xf numFmtId="0" fontId="21" fillId="7" borderId="32" xfId="0" applyNumberFormat="1" applyFont="1" applyFill="1" applyBorder="1" applyAlignment="1">
      <alignment vertical="top"/>
    </xf>
    <xf numFmtId="0" fontId="21" fillId="7" borderId="33" xfId="0" applyNumberFormat="1" applyFont="1" applyFill="1" applyBorder="1" applyAlignment="1">
      <alignment horizontal="center" vertical="center" wrapText="1"/>
    </xf>
    <xf numFmtId="0" fontId="21" fillId="7" borderId="33" xfId="0" applyNumberFormat="1" applyFont="1" applyFill="1" applyBorder="1" applyAlignment="1">
      <alignment horizontal="center" wrapText="1"/>
    </xf>
    <xf numFmtId="0" fontId="21" fillId="7" borderId="34" xfId="0" applyNumberFormat="1" applyFont="1" applyFill="1" applyBorder="1" applyAlignment="1">
      <alignment horizontal="center" wrapText="1"/>
    </xf>
    <xf numFmtId="0" fontId="21" fillId="7" borderId="1" xfId="0" quotePrefix="1" applyNumberFormat="1" applyFont="1" applyFill="1" applyBorder="1" applyAlignment="1">
      <alignment horizontal="center" vertical="center"/>
    </xf>
    <xf numFmtId="0" fontId="21" fillId="7" borderId="1" xfId="0" applyNumberFormat="1" applyFont="1" applyFill="1" applyBorder="1" applyAlignment="1">
      <alignment horizontal="center" vertical="center"/>
    </xf>
    <xf numFmtId="0" fontId="22" fillId="7" borderId="7" xfId="0" quotePrefix="1" applyNumberFormat="1" applyFont="1" applyFill="1" applyBorder="1" applyAlignment="1">
      <alignment horizontal="left" vertical="center"/>
    </xf>
    <xf numFmtId="0" fontId="21" fillId="7" borderId="8" xfId="0" applyNumberFormat="1" applyFont="1" applyFill="1" applyBorder="1" applyAlignment="1">
      <alignment horizontal="left" vertical="center" wrapText="1"/>
    </xf>
    <xf numFmtId="0" fontId="21" fillId="7" borderId="8" xfId="0" applyNumberFormat="1" applyFont="1" applyFill="1" applyBorder="1" applyAlignment="1">
      <alignment horizontal="center" wrapText="1"/>
    </xf>
    <xf numFmtId="0" fontId="21" fillId="7" borderId="9" xfId="0" applyNumberFormat="1" applyFont="1" applyFill="1" applyBorder="1" applyAlignment="1">
      <alignment horizontal="center" wrapText="1"/>
    </xf>
    <xf numFmtId="0" fontId="1" fillId="7" borderId="0" xfId="0" applyNumberFormat="1" applyFont="1" applyFill="1"/>
    <xf numFmtId="0" fontId="22" fillId="7" borderId="10" xfId="0" quotePrefix="1" applyNumberFormat="1" applyFont="1" applyFill="1" applyBorder="1" applyAlignment="1">
      <alignment horizontal="left" vertical="center"/>
    </xf>
    <xf numFmtId="0" fontId="21" fillId="7" borderId="0" xfId="0" applyNumberFormat="1" applyFont="1" applyFill="1" applyBorder="1" applyAlignment="1">
      <alignment horizontal="left" vertical="center" wrapText="1"/>
    </xf>
    <xf numFmtId="0" fontId="21" fillId="7" borderId="11" xfId="0" applyNumberFormat="1" applyFont="1" applyFill="1" applyBorder="1" applyAlignment="1">
      <alignment horizontal="center" wrapText="1"/>
    </xf>
    <xf numFmtId="0" fontId="21" fillId="7" borderId="0" xfId="0" applyNumberFormat="1" applyFont="1" applyFill="1" applyAlignment="1">
      <alignment horizontal="center" vertical="center" wrapText="1"/>
    </xf>
    <xf numFmtId="0" fontId="22" fillId="7" borderId="10" xfId="0" applyNumberFormat="1" applyFont="1" applyFill="1" applyBorder="1" applyAlignment="1">
      <alignment horizontal="left" vertical="center"/>
    </xf>
    <xf numFmtId="0" fontId="21" fillId="7" borderId="11" xfId="0" applyNumberFormat="1" applyFont="1" applyFill="1" applyBorder="1" applyAlignment="1">
      <alignment wrapText="1"/>
    </xf>
    <xf numFmtId="0" fontId="8" fillId="7" borderId="11" xfId="0" applyNumberFormat="1" applyFont="1" applyFill="1" applyBorder="1" applyAlignment="1">
      <alignment wrapText="1"/>
    </xf>
    <xf numFmtId="0" fontId="8" fillId="7" borderId="0" xfId="0" applyNumberFormat="1" applyFont="1" applyFill="1" applyAlignment="1">
      <alignment wrapText="1"/>
    </xf>
    <xf numFmtId="0" fontId="8" fillId="7" borderId="0" xfId="0" applyNumberFormat="1" applyFont="1" applyFill="1"/>
    <xf numFmtId="0" fontId="21" fillId="7" borderId="10" xfId="0" quotePrefix="1" applyNumberFormat="1" applyFont="1" applyFill="1" applyBorder="1" applyAlignment="1">
      <alignment horizontal="left" vertical="center"/>
    </xf>
    <xf numFmtId="0" fontId="22" fillId="7" borderId="0" xfId="0" applyNumberFormat="1" applyFont="1" applyFill="1" applyBorder="1" applyAlignment="1">
      <alignment horizontal="left" vertical="center"/>
    </xf>
    <xf numFmtId="0" fontId="21" fillId="7" borderId="11" xfId="0" applyNumberFormat="1" applyFont="1" applyFill="1" applyBorder="1" applyAlignment="1">
      <alignment horizontal="center" vertical="center" wrapText="1"/>
    </xf>
    <xf numFmtId="0" fontId="1" fillId="7" borderId="0" xfId="0" applyNumberFormat="1" applyFont="1" applyFill="1" applyBorder="1" applyAlignment="1">
      <alignment horizontal="center" vertical="center" wrapText="1"/>
    </xf>
    <xf numFmtId="0" fontId="4" fillId="7" borderId="0" xfId="0" applyNumberFormat="1" applyFont="1" applyFill="1" applyBorder="1" applyAlignment="1">
      <alignment horizontal="left" vertical="center"/>
    </xf>
    <xf numFmtId="0" fontId="8" fillId="7" borderId="0" xfId="0" applyNumberFormat="1" applyFont="1" applyFill="1" applyBorder="1" applyAlignment="1">
      <alignment horizont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0" fontId="8" fillId="7" borderId="0" xfId="0" applyNumberFormat="1" applyFont="1" applyFill="1" applyBorder="1"/>
    <xf numFmtId="0" fontId="22" fillId="7" borderId="12" xfId="0" quotePrefix="1" applyNumberFormat="1" applyFont="1" applyFill="1" applyBorder="1" applyAlignment="1">
      <alignment horizontal="left" vertical="center"/>
    </xf>
    <xf numFmtId="0" fontId="1" fillId="7" borderId="13" xfId="0" applyNumberFormat="1" applyFont="1" applyFill="1" applyBorder="1" applyAlignment="1">
      <alignment horizontal="center" vertical="center" wrapText="1"/>
    </xf>
    <xf numFmtId="0" fontId="1" fillId="7" borderId="14" xfId="0" applyNumberFormat="1" applyFont="1" applyFill="1" applyBorder="1" applyAlignment="1">
      <alignment horizontal="center" vertical="center" wrapText="1"/>
    </xf>
    <xf numFmtId="0" fontId="8" fillId="7" borderId="0" xfId="0" applyNumberFormat="1" applyFont="1" applyFill="1" applyBorder="1" applyAlignment="1">
      <alignment wrapText="1"/>
    </xf>
    <xf numFmtId="0" fontId="1" fillId="7" borderId="12" xfId="0" applyNumberFormat="1" applyFont="1" applyFill="1" applyBorder="1" applyAlignment="1">
      <alignment horizontal="center" vertical="center" wrapText="1"/>
    </xf>
    <xf numFmtId="0" fontId="2" fillId="7" borderId="13" xfId="0" applyNumberFormat="1" applyFont="1" applyFill="1" applyBorder="1" applyAlignment="1">
      <alignment horizontal="center" vertical="center" wrapText="1"/>
    </xf>
    <xf numFmtId="0" fontId="8" fillId="7" borderId="13" xfId="0" applyNumberFormat="1" applyFont="1" applyFill="1" applyBorder="1"/>
    <xf numFmtId="0" fontId="8" fillId="7" borderId="13" xfId="0" applyNumberFormat="1" applyFont="1" applyFill="1" applyBorder="1" applyAlignment="1">
      <alignment horizontal="center" wrapText="1"/>
    </xf>
    <xf numFmtId="0" fontId="8" fillId="7" borderId="13" xfId="0" applyNumberFormat="1" applyFont="1" applyFill="1" applyBorder="1" applyAlignment="1">
      <alignment wrapText="1"/>
    </xf>
    <xf numFmtId="0" fontId="8" fillId="7" borderId="14" xfId="0" applyNumberFormat="1" applyFont="1" applyFill="1" applyBorder="1" applyAlignment="1">
      <alignment wrapText="1"/>
    </xf>
    <xf numFmtId="0" fontId="8" fillId="7" borderId="0" xfId="0" applyNumberFormat="1" applyFont="1" applyFill="1" applyAlignment="1">
      <alignment horizontal="center" wrapText="1"/>
    </xf>
    <xf numFmtId="0" fontId="20" fillId="7" borderId="0" xfId="0" applyNumberFormat="1" applyFont="1" applyFill="1" applyAlignment="1">
      <alignment wrapText="1"/>
    </xf>
    <xf numFmtId="0" fontId="20" fillId="7" borderId="0" xfId="0" applyNumberFormat="1" applyFont="1" applyFill="1"/>
    <xf numFmtId="0" fontId="4" fillId="0" borderId="22" xfId="0" applyNumberFormat="1" applyFont="1" applyFill="1" applyBorder="1" applyAlignment="1">
      <alignment horizontal="center" vertical="center"/>
    </xf>
    <xf numFmtId="0" fontId="4" fillId="0" borderId="35" xfId="0" applyNumberFormat="1" applyFont="1" applyFill="1" applyBorder="1" applyAlignment="1">
      <alignment horizontal="center" vertical="center"/>
    </xf>
    <xf numFmtId="174" fontId="4" fillId="0" borderId="22" xfId="0" applyNumberFormat="1" applyFont="1" applyFill="1" applyBorder="1" applyAlignment="1">
      <alignment horizontal="center" vertical="center"/>
    </xf>
    <xf numFmtId="174" fontId="4" fillId="0" borderId="24" xfId="0" applyNumberFormat="1" applyFont="1" applyFill="1" applyBorder="1" applyAlignment="1">
      <alignment horizontal="center"/>
    </xf>
    <xf numFmtId="0" fontId="20" fillId="2" borderId="0" xfId="0" applyNumberFormat="1" applyFont="1" applyFill="1" applyAlignment="1">
      <alignment horizontal="left"/>
    </xf>
    <xf numFmtId="0" fontId="20" fillId="2" borderId="0" xfId="0" applyNumberFormat="1" applyFont="1" applyFill="1" applyAlignment="1">
      <alignment horizontal="left" wrapText="1"/>
    </xf>
    <xf numFmtId="0" fontId="3" fillId="2" borderId="0" xfId="0" applyNumberFormat="1" applyFont="1" applyFill="1" applyAlignment="1">
      <alignment horizontal="left" vertical="center" wrapText="1"/>
    </xf>
    <xf numFmtId="0" fontId="4" fillId="2" borderId="36" xfId="0" applyNumberFormat="1" applyFont="1" applyFill="1" applyBorder="1" applyAlignment="1">
      <alignment horizontal="center"/>
    </xf>
    <xf numFmtId="0" fontId="4" fillId="2" borderId="37" xfId="0" applyNumberFormat="1" applyFont="1" applyFill="1" applyBorder="1" applyAlignment="1">
      <alignment horizontal="center"/>
    </xf>
    <xf numFmtId="0" fontId="4" fillId="2" borderId="36" xfId="0" applyNumberFormat="1" applyFont="1" applyFill="1" applyBorder="1" applyAlignment="1">
      <alignment horizontal="center" vertical="center" wrapText="1"/>
    </xf>
    <xf numFmtId="0" fontId="4" fillId="2" borderId="37" xfId="0" applyNumberFormat="1" applyFont="1" applyFill="1" applyBorder="1" applyAlignment="1">
      <alignment horizontal="center" vertical="center" wrapText="1"/>
    </xf>
    <xf numFmtId="0" fontId="1" fillId="0" borderId="38" xfId="0" applyNumberFormat="1" applyFont="1" applyBorder="1" applyAlignment="1">
      <alignment horizontal="center"/>
    </xf>
    <xf numFmtId="0" fontId="1" fillId="2" borderId="17" xfId="0" applyNumberFormat="1" applyFont="1" applyFill="1" applyBorder="1" applyAlignment="1">
      <alignment horizontal="center" vertical="center" wrapText="1"/>
    </xf>
    <xf numFmtId="0" fontId="1" fillId="0" borderId="39" xfId="0" applyNumberFormat="1" applyFont="1" applyBorder="1" applyAlignment="1">
      <alignment horizontal="center"/>
    </xf>
    <xf numFmtId="0" fontId="1" fillId="2" borderId="19" xfId="0" applyNumberFormat="1" applyFont="1" applyFill="1" applyBorder="1" applyAlignment="1">
      <alignment horizontal="center" vertical="center" wrapText="1"/>
    </xf>
    <xf numFmtId="0" fontId="1" fillId="0" borderId="40" xfId="0" applyNumberFormat="1" applyFont="1" applyBorder="1" applyAlignment="1">
      <alignment horizontal="center"/>
    </xf>
    <xf numFmtId="0" fontId="1" fillId="2" borderId="21" xfId="0" applyNumberFormat="1" applyFont="1" applyFill="1" applyBorder="1" applyAlignment="1">
      <alignment horizontal="center" vertical="center" wrapText="1"/>
    </xf>
    <xf numFmtId="0" fontId="1" fillId="0" borderId="41" xfId="0" applyNumberFormat="1" applyFont="1" applyBorder="1" applyAlignment="1">
      <alignment horizontal="center"/>
    </xf>
    <xf numFmtId="0" fontId="1" fillId="2" borderId="17" xfId="0" applyNumberFormat="1" applyFont="1" applyFill="1" applyBorder="1" applyAlignment="1">
      <alignment horizontal="center" vertical="center"/>
    </xf>
    <xf numFmtId="0" fontId="1" fillId="2" borderId="39" xfId="0" applyNumberFormat="1" applyFont="1" applyFill="1" applyBorder="1" applyAlignment="1">
      <alignment horizontal="center" vertical="center"/>
    </xf>
    <xf numFmtId="165" fontId="24" fillId="5" borderId="17" xfId="0" quotePrefix="1" applyNumberFormat="1" applyFont="1" applyFill="1" applyBorder="1" applyAlignment="1">
      <alignment horizontal="center" vertical="center"/>
    </xf>
    <xf numFmtId="0" fontId="24" fillId="5" borderId="31" xfId="0" applyNumberFormat="1" applyFont="1" applyFill="1" applyBorder="1" applyAlignment="1">
      <alignment horizontal="center"/>
    </xf>
    <xf numFmtId="0" fontId="1" fillId="2" borderId="42" xfId="0" applyNumberFormat="1" applyFont="1" applyFill="1" applyBorder="1" applyAlignment="1">
      <alignment horizontal="center" vertical="center"/>
    </xf>
    <xf numFmtId="0" fontId="1" fillId="2" borderId="43" xfId="0" applyNumberFormat="1" applyFont="1" applyFill="1" applyBorder="1" applyAlignment="1">
      <alignment horizontal="center" vertical="center"/>
    </xf>
    <xf numFmtId="165" fontId="23" fillId="5" borderId="23" xfId="0" applyNumberFormat="1" applyFont="1" applyFill="1" applyBorder="1" applyAlignment="1" applyProtection="1">
      <alignment horizontal="center" vertical="center"/>
      <protection locked="0"/>
    </xf>
    <xf numFmtId="0" fontId="23" fillId="5" borderId="27" xfId="0" applyNumberFormat="1" applyFont="1" applyFill="1" applyBorder="1" applyAlignment="1" applyProtection="1">
      <alignment horizontal="center"/>
      <protection locked="0"/>
    </xf>
    <xf numFmtId="0" fontId="20" fillId="2" borderId="0" xfId="0" applyNumberFormat="1" applyFont="1" applyFill="1" applyAlignment="1">
      <alignment horizontal="left" vertical="center" wrapText="1"/>
    </xf>
    <xf numFmtId="0" fontId="4" fillId="3" borderId="44" xfId="0" quotePrefix="1" applyNumberFormat="1" applyFont="1" applyFill="1" applyBorder="1" applyAlignment="1">
      <alignment horizontal="center" vertical="center" wrapText="1"/>
    </xf>
    <xf numFmtId="0" fontId="4" fillId="3" borderId="45" xfId="0" quotePrefix="1" applyNumberFormat="1" applyFont="1" applyFill="1" applyBorder="1" applyAlignment="1">
      <alignment horizontal="center" vertical="center" wrapText="1"/>
    </xf>
    <xf numFmtId="168" fontId="1" fillId="3" borderId="44" xfId="0" applyNumberFormat="1" applyFont="1" applyFill="1" applyBorder="1" applyAlignment="1">
      <alignment horizontal="center" vertical="center"/>
    </xf>
    <xf numFmtId="168" fontId="1" fillId="3" borderId="20" xfId="0" applyNumberFormat="1" applyFont="1" applyFill="1" applyBorder="1" applyAlignment="1">
      <alignment horizontal="center" vertical="center"/>
    </xf>
    <xf numFmtId="167" fontId="1" fillId="3" borderId="41" xfId="0" applyNumberFormat="1" applyFont="1" applyFill="1" applyBorder="1" applyAlignment="1">
      <alignment horizontal="center" vertical="center"/>
    </xf>
    <xf numFmtId="167" fontId="1" fillId="3" borderId="46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Alignment="1">
      <alignment horizontal="center" vertical="center" wrapText="1"/>
    </xf>
    <xf numFmtId="0" fontId="4" fillId="2" borderId="47" xfId="0" applyNumberFormat="1" applyFont="1" applyFill="1" applyBorder="1" applyAlignment="1">
      <alignment horizontal="center" vertical="center" wrapText="1"/>
    </xf>
    <xf numFmtId="0" fontId="4" fillId="2" borderId="48" xfId="0" applyNumberFormat="1" applyFont="1" applyFill="1" applyBorder="1" applyAlignment="1">
      <alignment horizontal="center" vertical="center" wrapText="1"/>
    </xf>
    <xf numFmtId="168" fontId="1" fillId="2" borderId="47" xfId="0" applyNumberFormat="1" applyFont="1" applyFill="1" applyBorder="1" applyAlignment="1">
      <alignment horizontal="center" vertical="center"/>
    </xf>
    <xf numFmtId="168" fontId="1" fillId="2" borderId="18" xfId="0" applyNumberFormat="1" applyFont="1" applyFill="1" applyBorder="1" applyAlignment="1">
      <alignment horizontal="center" vertical="center"/>
    </xf>
    <xf numFmtId="167" fontId="1" fillId="2" borderId="40" xfId="0" applyNumberFormat="1" applyFont="1" applyFill="1" applyBorder="1" applyAlignment="1">
      <alignment horizontal="center" vertical="center"/>
    </xf>
    <xf numFmtId="167" fontId="1" fillId="2" borderId="49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 wrapText="1"/>
    </xf>
    <xf numFmtId="166" fontId="4" fillId="2" borderId="44" xfId="0" applyNumberFormat="1" applyFont="1" applyFill="1" applyBorder="1" applyAlignment="1">
      <alignment horizontal="center" vertical="center"/>
    </xf>
    <xf numFmtId="166" fontId="4" fillId="2" borderId="45" xfId="0" applyNumberFormat="1" applyFont="1" applyFill="1" applyBorder="1" applyAlignment="1">
      <alignment horizontal="center" vertical="center"/>
    </xf>
    <xf numFmtId="166" fontId="4" fillId="2" borderId="46" xfId="0" applyNumberFormat="1" applyFont="1" applyFill="1" applyBorder="1" applyAlignment="1">
      <alignment horizontal="center" vertical="center"/>
    </xf>
    <xf numFmtId="168" fontId="1" fillId="2" borderId="42" xfId="0" applyNumberFormat="1" applyFont="1" applyFill="1" applyBorder="1" applyAlignment="1">
      <alignment horizontal="center" vertical="center"/>
    </xf>
    <xf numFmtId="168" fontId="1" fillId="0" borderId="50" xfId="0" applyNumberFormat="1" applyFont="1" applyBorder="1" applyAlignment="1">
      <alignment horizontal="center" vertical="center"/>
    </xf>
    <xf numFmtId="167" fontId="1" fillId="2" borderId="41" xfId="0" applyNumberFormat="1" applyFont="1" applyFill="1" applyBorder="1" applyAlignment="1">
      <alignment horizontal="center" vertical="center"/>
    </xf>
    <xf numFmtId="167" fontId="1" fillId="2" borderId="46" xfId="0" applyNumberFormat="1" applyFont="1" applyFill="1" applyBorder="1" applyAlignment="1">
      <alignment horizontal="center" vertical="center"/>
    </xf>
    <xf numFmtId="168" fontId="1" fillId="2" borderId="21" xfId="0" applyNumberFormat="1" applyFont="1" applyFill="1" applyBorder="1" applyAlignment="1">
      <alignment horizontal="center" vertical="center"/>
    </xf>
    <xf numFmtId="168" fontId="1" fillId="0" borderId="51" xfId="0" applyNumberFormat="1" applyFont="1" applyBorder="1" applyAlignment="1">
      <alignment horizontal="center" vertical="center"/>
    </xf>
    <xf numFmtId="0" fontId="4" fillId="2" borderId="52" xfId="0" applyNumberFormat="1" applyFont="1" applyFill="1" applyBorder="1" applyAlignment="1">
      <alignment horizontal="center" vertical="center" wrapText="1"/>
    </xf>
    <xf numFmtId="0" fontId="4" fillId="2" borderId="53" xfId="0" applyNumberFormat="1" applyFont="1" applyFill="1" applyBorder="1" applyAlignment="1">
      <alignment horizontal="center" vertical="center" wrapText="1"/>
    </xf>
    <xf numFmtId="168" fontId="1" fillId="2" borderId="52" xfId="0" applyNumberFormat="1" applyFont="1" applyFill="1" applyBorder="1" applyAlignment="1">
      <alignment horizontal="center" vertical="center"/>
    </xf>
    <xf numFmtId="168" fontId="1" fillId="2" borderId="25" xfId="0" applyNumberFormat="1" applyFont="1" applyFill="1" applyBorder="1" applyAlignment="1">
      <alignment horizontal="center" vertical="center"/>
    </xf>
    <xf numFmtId="167" fontId="1" fillId="2" borderId="39" xfId="0" applyNumberFormat="1" applyFont="1" applyFill="1" applyBorder="1" applyAlignment="1">
      <alignment horizontal="center" vertical="center"/>
    </xf>
    <xf numFmtId="167" fontId="1" fillId="2" borderId="54" xfId="0" applyNumberFormat="1" applyFont="1" applyFill="1" applyBorder="1" applyAlignment="1">
      <alignment horizontal="center" vertical="center"/>
    </xf>
    <xf numFmtId="166" fontId="4" fillId="2" borderId="47" xfId="0" applyNumberFormat="1" applyFont="1" applyFill="1" applyBorder="1" applyAlignment="1">
      <alignment horizontal="center" vertical="center"/>
    </xf>
    <xf numFmtId="166" fontId="4" fillId="2" borderId="48" xfId="0" applyNumberFormat="1" applyFont="1" applyFill="1" applyBorder="1" applyAlignment="1">
      <alignment horizontal="center" vertical="center"/>
    </xf>
    <xf numFmtId="166" fontId="4" fillId="2" borderId="49" xfId="0" applyNumberFormat="1" applyFont="1" applyFill="1" applyBorder="1" applyAlignment="1">
      <alignment horizontal="center" vertical="center"/>
    </xf>
    <xf numFmtId="168" fontId="1" fillId="2" borderId="19" xfId="0" applyNumberFormat="1" applyFont="1" applyFill="1" applyBorder="1" applyAlignment="1">
      <alignment horizontal="center" vertical="center"/>
    </xf>
    <xf numFmtId="168" fontId="1" fillId="0" borderId="55" xfId="0" applyNumberFormat="1" applyFont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left" vertical="center"/>
    </xf>
    <xf numFmtId="166" fontId="4" fillId="2" borderId="52" xfId="0" applyNumberFormat="1" applyFont="1" applyFill="1" applyBorder="1" applyAlignment="1">
      <alignment horizontal="center" vertical="center"/>
    </xf>
    <xf numFmtId="166" fontId="4" fillId="2" borderId="53" xfId="0" applyNumberFormat="1" applyFont="1" applyFill="1" applyBorder="1" applyAlignment="1">
      <alignment horizontal="center" vertical="center"/>
    </xf>
    <xf numFmtId="166" fontId="4" fillId="2" borderId="54" xfId="0" applyNumberFormat="1" applyFont="1" applyFill="1" applyBorder="1" applyAlignment="1">
      <alignment horizontal="center" vertical="center"/>
    </xf>
    <xf numFmtId="168" fontId="1" fillId="2" borderId="17" xfId="0" applyNumberFormat="1" applyFont="1" applyFill="1" applyBorder="1" applyAlignment="1">
      <alignment horizontal="center" vertical="center"/>
    </xf>
    <xf numFmtId="168" fontId="1" fillId="0" borderId="56" xfId="0" applyNumberFormat="1" applyFont="1" applyBorder="1" applyAlignment="1">
      <alignment horizontal="center" vertical="center"/>
    </xf>
    <xf numFmtId="0" fontId="4" fillId="2" borderId="57" xfId="0" applyNumberFormat="1" applyFont="1" applyFill="1" applyBorder="1" applyAlignment="1" applyProtection="1">
      <alignment horizontal="center" vertical="center" wrapText="1"/>
    </xf>
    <xf numFmtId="0" fontId="1" fillId="0" borderId="57" xfId="0" applyNumberFormat="1" applyFont="1" applyBorder="1" applyAlignment="1" applyProtection="1">
      <alignment horizontal="center"/>
    </xf>
    <xf numFmtId="0" fontId="4" fillId="2" borderId="58" xfId="0" applyNumberFormat="1" applyFont="1" applyFill="1" applyBorder="1" applyAlignment="1" applyProtection="1">
      <alignment horizontal="center" vertical="center" wrapText="1"/>
    </xf>
    <xf numFmtId="0" fontId="1" fillId="0" borderId="59" xfId="0" applyNumberFormat="1" applyFont="1" applyBorder="1" applyAlignment="1" applyProtection="1">
      <alignment horizontal="center"/>
    </xf>
    <xf numFmtId="0" fontId="4" fillId="2" borderId="59" xfId="0" applyNumberFormat="1" applyFont="1" applyFill="1" applyBorder="1" applyAlignment="1" applyProtection="1">
      <alignment horizontal="center" vertical="center" wrapText="1"/>
    </xf>
    <xf numFmtId="0" fontId="4" fillId="0" borderId="57" xfId="0" applyNumberFormat="1" applyFont="1" applyBorder="1" applyAlignment="1" applyProtection="1">
      <alignment horizontal="center" vertical="center"/>
    </xf>
    <xf numFmtId="0" fontId="4" fillId="0" borderId="59" xfId="0" applyNumberFormat="1" applyFont="1" applyBorder="1" applyAlignment="1" applyProtection="1">
      <alignment horizontal="center" vertical="center"/>
    </xf>
    <xf numFmtId="0" fontId="4" fillId="2" borderId="60" xfId="0" applyNumberFormat="1" applyFont="1" applyFill="1" applyBorder="1" applyAlignment="1" applyProtection="1">
      <alignment horizontal="center" vertical="center" wrapText="1"/>
    </xf>
    <xf numFmtId="0" fontId="4" fillId="0" borderId="35" xfId="0" applyNumberFormat="1" applyFont="1" applyBorder="1" applyAlignment="1" applyProtection="1">
      <alignment horizontal="center" vertical="center"/>
    </xf>
    <xf numFmtId="0" fontId="4" fillId="0" borderId="61" xfId="0" applyNumberFormat="1" applyFont="1" applyBorder="1" applyAlignment="1" applyProtection="1">
      <alignment horizontal="center" vertical="center"/>
    </xf>
    <xf numFmtId="0" fontId="4" fillId="0" borderId="3" xfId="0" applyNumberFormat="1" applyFont="1" applyBorder="1" applyAlignment="1" applyProtection="1">
      <alignment horizontal="center" vertical="center"/>
    </xf>
    <xf numFmtId="0" fontId="1" fillId="2" borderId="0" xfId="0" applyNumberFormat="1" applyFont="1" applyFill="1" applyBorder="1" applyAlignment="1" applyProtection="1">
      <alignment horizontal="left"/>
    </xf>
    <xf numFmtId="0" fontId="1" fillId="2" borderId="0" xfId="0" applyNumberFormat="1" applyFont="1" applyFill="1" applyBorder="1" applyAlignment="1" applyProtection="1"/>
    <xf numFmtId="168" fontId="12" fillId="2" borderId="0" xfId="0" applyNumberFormat="1" applyFont="1" applyFill="1" applyBorder="1" applyAlignment="1" applyProtection="1">
      <alignment horizontal="left" vertical="top"/>
    </xf>
    <xf numFmtId="167" fontId="12" fillId="2" borderId="0" xfId="0" applyNumberFormat="1" applyFont="1" applyFill="1" applyBorder="1" applyAlignment="1" applyProtection="1">
      <alignment horizontal="left" vertical="top" wrapText="1"/>
    </xf>
    <xf numFmtId="0" fontId="8" fillId="0" borderId="0" xfId="0" applyFont="1" applyBorder="1" applyAlignment="1" applyProtection="1">
      <alignment horizontal="left" vertical="top" wrapText="1"/>
    </xf>
    <xf numFmtId="0" fontId="5" fillId="2" borderId="0" xfId="0" applyFont="1" applyFill="1" applyBorder="1" applyAlignment="1" applyProtection="1">
      <alignment horizontal="center" vertical="top"/>
    </xf>
    <xf numFmtId="173" fontId="5" fillId="2" borderId="0" xfId="0" applyNumberFormat="1" applyFont="1" applyFill="1" applyBorder="1" applyAlignment="1" applyProtection="1">
      <alignment horizontal="left" vertical="top"/>
    </xf>
    <xf numFmtId="0" fontId="4" fillId="2" borderId="58" xfId="0" applyNumberFormat="1" applyFont="1" applyFill="1" applyBorder="1" applyAlignment="1" applyProtection="1">
      <alignment horizontal="center" vertical="center"/>
    </xf>
    <xf numFmtId="0" fontId="4" fillId="2" borderId="57" xfId="0" applyNumberFormat="1" applyFont="1" applyFill="1" applyBorder="1" applyAlignment="1" applyProtection="1">
      <alignment horizontal="center" vertical="center"/>
    </xf>
    <xf numFmtId="0" fontId="4" fillId="2" borderId="59" xfId="0" applyNumberFormat="1" applyFont="1" applyFill="1" applyBorder="1" applyAlignment="1" applyProtection="1">
      <alignment horizontal="center" vertical="center"/>
    </xf>
    <xf numFmtId="0" fontId="21" fillId="2" borderId="32" xfId="0" applyNumberFormat="1" applyFont="1" applyFill="1" applyBorder="1" applyAlignment="1" applyProtection="1">
      <alignment horizontal="center" vertical="center" wrapText="1"/>
    </xf>
    <xf numFmtId="0" fontId="21" fillId="2" borderId="34" xfId="0" applyNumberFormat="1" applyFont="1" applyFill="1" applyBorder="1" applyAlignment="1" applyProtection="1">
      <alignment horizontal="center" vertical="center" wrapText="1"/>
    </xf>
    <xf numFmtId="169" fontId="1" fillId="2" borderId="0" xfId="0" quotePrefix="1" applyNumberFormat="1" applyFont="1" applyFill="1" applyBorder="1" applyAlignment="1" applyProtection="1">
      <alignment horizontal="left"/>
    </xf>
    <xf numFmtId="169" fontId="8" fillId="0" borderId="0" xfId="0" applyNumberFormat="1" applyFont="1" applyBorder="1" applyAlignment="1" applyProtection="1"/>
    <xf numFmtId="170" fontId="1" fillId="2" borderId="0" xfId="0" applyNumberFormat="1" applyFont="1" applyFill="1" applyBorder="1" applyAlignment="1" applyProtection="1">
      <alignment horizontal="left"/>
    </xf>
    <xf numFmtId="170" fontId="8" fillId="0" borderId="0" xfId="0" applyNumberFormat="1" applyFont="1" applyBorder="1" applyAlignment="1" applyProtection="1"/>
    <xf numFmtId="0" fontId="21" fillId="2" borderId="7" xfId="0" applyNumberFormat="1" applyFont="1" applyFill="1" applyBorder="1" applyAlignment="1">
      <alignment horizontal="center" vertical="center" wrapText="1"/>
    </xf>
    <xf numFmtId="0" fontId="21" fillId="2" borderId="8" xfId="0" applyNumberFormat="1" applyFont="1" applyFill="1" applyBorder="1" applyAlignment="1">
      <alignment horizontal="center" vertical="center" wrapText="1"/>
    </xf>
    <xf numFmtId="0" fontId="21" fillId="2" borderId="9" xfId="0" applyNumberFormat="1" applyFont="1" applyFill="1" applyBorder="1" applyAlignment="1">
      <alignment horizontal="center" vertical="center" wrapText="1"/>
    </xf>
    <xf numFmtId="0" fontId="21" fillId="2" borderId="12" xfId="0" applyNumberFormat="1" applyFont="1" applyFill="1" applyBorder="1" applyAlignment="1">
      <alignment horizontal="center" vertical="center" wrapText="1"/>
    </xf>
    <xf numFmtId="0" fontId="21" fillId="2" borderId="13" xfId="0" applyNumberFormat="1" applyFont="1" applyFill="1" applyBorder="1" applyAlignment="1">
      <alignment horizontal="center" vertical="center" wrapText="1"/>
    </xf>
    <xf numFmtId="0" fontId="21" fillId="2" borderId="14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protection locked="0"/>
    </xf>
    <xf numFmtId="0" fontId="0" fillId="0" borderId="62" xfId="0" applyBorder="1" applyAlignment="1" applyProtection="1">
      <protection locked="0"/>
    </xf>
    <xf numFmtId="0" fontId="10" fillId="2" borderId="0" xfId="0" applyFont="1" applyFill="1" applyBorder="1" applyAlignment="1" applyProtection="1">
      <alignment horizontal="left" vertical="center"/>
      <protection locked="0"/>
    </xf>
    <xf numFmtId="0" fontId="0" fillId="0" borderId="0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21" fillId="2" borderId="32" xfId="0" applyNumberFormat="1" applyFont="1" applyFill="1" applyBorder="1" applyAlignment="1">
      <alignment horizontal="center" vertical="center" wrapText="1"/>
    </xf>
    <xf numFmtId="0" fontId="21" fillId="2" borderId="34" xfId="0" applyNumberFormat="1" applyFont="1" applyFill="1" applyBorder="1" applyAlignment="1">
      <alignment horizontal="center" vertical="center" wrapText="1"/>
    </xf>
    <xf numFmtId="171" fontId="10" fillId="2" borderId="6" xfId="0" applyNumberFormat="1" applyFont="1" applyFill="1" applyBorder="1" applyAlignment="1" applyProtection="1">
      <alignment horizontal="left" vertical="center"/>
      <protection locked="0"/>
    </xf>
    <xf numFmtId="171" fontId="10" fillId="2" borderId="63" xfId="0" applyNumberFormat="1" applyFont="1" applyFill="1" applyBorder="1" applyAlignment="1" applyProtection="1">
      <alignment horizontal="left" vertical="center"/>
      <protection locked="0"/>
    </xf>
    <xf numFmtId="0" fontId="14" fillId="2" borderId="58" xfId="0" applyNumberFormat="1" applyFont="1" applyFill="1" applyBorder="1" applyAlignment="1" applyProtection="1">
      <alignment horizontal="center" vertical="center"/>
    </xf>
    <xf numFmtId="0" fontId="14" fillId="2" borderId="57" xfId="0" applyNumberFormat="1" applyFont="1" applyFill="1" applyBorder="1" applyAlignment="1" applyProtection="1">
      <alignment horizontal="center" vertical="center"/>
    </xf>
    <xf numFmtId="0" fontId="14" fillId="2" borderId="59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Border="1" applyAlignment="1" applyProtection="1">
      <alignment horizontal="center" vertical="center" wrapText="1"/>
    </xf>
    <xf numFmtId="0" fontId="21" fillId="2" borderId="32" xfId="0" quotePrefix="1" applyNumberFormat="1" applyFont="1" applyFill="1" applyBorder="1" applyAlignment="1">
      <alignment horizontal="center" vertical="center" wrapText="1"/>
    </xf>
    <xf numFmtId="0" fontId="21" fillId="2" borderId="33" xfId="0" quotePrefix="1" applyNumberFormat="1" applyFont="1" applyFill="1" applyBorder="1" applyAlignment="1">
      <alignment horizontal="center" vertical="center" wrapText="1"/>
    </xf>
    <xf numFmtId="0" fontId="21" fillId="2" borderId="34" xfId="0" quotePrefix="1" applyNumberFormat="1" applyFont="1" applyFill="1" applyBorder="1" applyAlignment="1">
      <alignment horizontal="center" vertical="center" wrapText="1"/>
    </xf>
    <xf numFmtId="0" fontId="21" fillId="2" borderId="64" xfId="0" applyNumberFormat="1" applyFont="1" applyFill="1" applyBorder="1" applyAlignment="1">
      <alignment horizontal="center" vertical="center" wrapText="1"/>
    </xf>
    <xf numFmtId="0" fontId="21" fillId="2" borderId="65" xfId="0" applyNumberFormat="1" applyFont="1" applyFill="1" applyBorder="1" applyAlignment="1">
      <alignment horizontal="center" vertical="center" wrapText="1"/>
    </xf>
    <xf numFmtId="0" fontId="20" fillId="7" borderId="0" xfId="0" applyNumberFormat="1" applyFont="1" applyFill="1" applyAlignment="1">
      <alignment horizontal="left"/>
    </xf>
    <xf numFmtId="0" fontId="20" fillId="7" borderId="0" xfId="0" applyNumberFormat="1" applyFont="1" applyFill="1" applyAlignment="1">
      <alignment horizontal="left" wrapText="1"/>
    </xf>
    <xf numFmtId="0" fontId="3" fillId="7" borderId="0" xfId="0" applyNumberFormat="1" applyFont="1" applyFill="1" applyAlignment="1">
      <alignment horizontal="left" vertical="center" wrapText="1"/>
    </xf>
    <xf numFmtId="0" fontId="20" fillId="7" borderId="0" xfId="0" applyNumberFormat="1" applyFont="1" applyFill="1" applyAlignment="1">
      <alignment horizontal="left" vertical="center" wrapText="1"/>
    </xf>
    <xf numFmtId="0" fontId="3" fillId="7" borderId="0" xfId="0" applyNumberFormat="1" applyFont="1" applyFill="1" applyAlignment="1">
      <alignment horizontal="center" vertical="center" wrapText="1"/>
    </xf>
    <xf numFmtId="0" fontId="1" fillId="7" borderId="8" xfId="0" applyNumberFormat="1" applyFont="1" applyFill="1" applyBorder="1" applyAlignment="1">
      <alignment horizontal="center" vertical="center" wrapText="1"/>
    </xf>
    <xf numFmtId="0" fontId="1" fillId="7" borderId="0" xfId="0" applyNumberFormat="1" applyFont="1" applyFill="1" applyBorder="1" applyAlignment="1">
      <alignment horizontal="left" vertical="center"/>
    </xf>
    <xf numFmtId="0" fontId="21" fillId="7" borderId="32" xfId="0" applyNumberFormat="1" applyFont="1" applyFill="1" applyBorder="1" applyAlignment="1" applyProtection="1">
      <alignment horizontal="center" vertical="center" wrapText="1"/>
    </xf>
    <xf numFmtId="0" fontId="21" fillId="7" borderId="34" xfId="0" applyNumberFormat="1" applyFont="1" applyFill="1" applyBorder="1" applyAlignment="1" applyProtection="1">
      <alignment horizontal="center" vertical="center" wrapText="1"/>
    </xf>
    <xf numFmtId="0" fontId="21" fillId="7" borderId="7" xfId="0" applyNumberFormat="1" applyFont="1" applyFill="1" applyBorder="1" applyAlignment="1">
      <alignment horizontal="center" vertical="center" wrapText="1"/>
    </xf>
    <xf numFmtId="0" fontId="21" fillId="7" borderId="8" xfId="0" applyNumberFormat="1" applyFont="1" applyFill="1" applyBorder="1" applyAlignment="1">
      <alignment horizontal="center" vertical="center" wrapText="1"/>
    </xf>
    <xf numFmtId="0" fontId="21" fillId="7" borderId="9" xfId="0" applyNumberFormat="1" applyFont="1" applyFill="1" applyBorder="1" applyAlignment="1">
      <alignment horizontal="center" vertical="center" wrapText="1"/>
    </xf>
    <xf numFmtId="0" fontId="21" fillId="7" borderId="12" xfId="0" applyNumberFormat="1" applyFont="1" applyFill="1" applyBorder="1" applyAlignment="1">
      <alignment horizontal="center" vertical="center" wrapText="1"/>
    </xf>
    <xf numFmtId="0" fontId="21" fillId="7" borderId="13" xfId="0" applyNumberFormat="1" applyFont="1" applyFill="1" applyBorder="1" applyAlignment="1">
      <alignment horizontal="center" vertical="center" wrapText="1"/>
    </xf>
    <xf numFmtId="0" fontId="21" fillId="7" borderId="14" xfId="0" applyNumberFormat="1" applyFont="1" applyFill="1" applyBorder="1" applyAlignment="1">
      <alignment horizontal="center" vertical="center" wrapText="1"/>
    </xf>
    <xf numFmtId="0" fontId="21" fillId="7" borderId="32" xfId="0" applyNumberFormat="1" applyFont="1" applyFill="1" applyBorder="1" applyAlignment="1">
      <alignment horizontal="center" vertical="center" wrapText="1"/>
    </xf>
    <xf numFmtId="0" fontId="21" fillId="7" borderId="34" xfId="0" applyNumberFormat="1" applyFont="1" applyFill="1" applyBorder="1" applyAlignment="1">
      <alignment horizontal="center" vertical="center" wrapText="1"/>
    </xf>
    <xf numFmtId="0" fontId="21" fillId="7" borderId="32" xfId="0" quotePrefix="1" applyNumberFormat="1" applyFont="1" applyFill="1" applyBorder="1" applyAlignment="1">
      <alignment horizontal="center" vertical="center" wrapText="1"/>
    </xf>
    <xf numFmtId="0" fontId="21" fillId="7" borderId="33" xfId="0" quotePrefix="1" applyNumberFormat="1" applyFont="1" applyFill="1" applyBorder="1" applyAlignment="1">
      <alignment horizontal="center" vertical="center" wrapText="1"/>
    </xf>
    <xf numFmtId="0" fontId="21" fillId="7" borderId="34" xfId="0" quotePrefix="1" applyNumberFormat="1" applyFont="1" applyFill="1" applyBorder="1" applyAlignment="1">
      <alignment horizontal="center" vertical="center" wrapText="1"/>
    </xf>
    <xf numFmtId="0" fontId="21" fillId="7" borderId="64" xfId="0" applyNumberFormat="1" applyFont="1" applyFill="1" applyBorder="1" applyAlignment="1">
      <alignment horizontal="center" vertical="center" wrapText="1"/>
    </xf>
    <xf numFmtId="0" fontId="21" fillId="7" borderId="65" xfId="0" applyNumberFormat="1" applyFont="1" applyFill="1" applyBorder="1" applyAlignment="1">
      <alignment horizontal="center" vertical="center" wrapText="1"/>
    </xf>
  </cellXfs>
  <cellStyles count="1">
    <cellStyle name="Normalny" xfId="0" builtinId="0"/>
  </cellStyles>
  <dxfs count="75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61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solid"/>
      </fill>
    </dxf>
    <dxf>
      <font>
        <b/>
        <i val="0"/>
        <condense val="0"/>
        <extend val="0"/>
        <color indexed="12"/>
      </font>
      <fill>
        <patternFill patternType="solid"/>
      </fill>
    </dxf>
    <dxf>
      <font>
        <b/>
        <i val="0"/>
        <strike val="0"/>
        <condense val="0"/>
        <extend val="0"/>
        <color indexed="10"/>
      </font>
      <fill>
        <patternFill>
          <bgColor indexed="47"/>
        </patternFill>
      </fill>
    </dxf>
    <dxf>
      <font>
        <b/>
        <i val="0"/>
        <strike val="0"/>
        <condense val="0"/>
        <extend val="0"/>
        <color indexed="10"/>
      </font>
      <fill>
        <patternFill>
          <bgColor indexed="47"/>
        </patternFill>
      </fill>
    </dxf>
    <dxf>
      <font>
        <strike val="0"/>
        <condense val="0"/>
        <extend val="0"/>
        <color indexed="10"/>
      </font>
      <fill>
        <patternFill>
          <bgColor indexed="47"/>
        </patternFill>
      </fill>
    </dxf>
    <dxf>
      <font>
        <strike val="0"/>
        <condense val="0"/>
        <extend val="0"/>
        <color indexed="10"/>
      </font>
      <fill>
        <patternFill>
          <bgColor indexed="47"/>
        </patternFill>
      </fill>
    </dxf>
    <dxf>
      <font>
        <b/>
        <i val="0"/>
        <condense val="0"/>
        <extend val="0"/>
        <color indexed="10"/>
      </font>
      <fill>
        <patternFill>
          <bgColor indexed="47"/>
        </patternFill>
      </fill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2"/>
      </font>
    </dxf>
    <dxf>
      <font>
        <strike val="0"/>
        <color rgb="FFC0C0C0"/>
      </font>
      <fill>
        <patternFill patternType="solid">
          <fgColor rgb="FFC0C0C0"/>
          <bgColor rgb="FFC0C0C0"/>
        </patternFill>
      </fill>
    </dxf>
    <dxf>
      <font>
        <b val="0"/>
        <i/>
        <condense val="0"/>
        <extend val="0"/>
        <color auto="1"/>
      </font>
      <fill>
        <patternFill patternType="mediumGray">
          <fgColor indexed="22"/>
          <bgColor indexed="9"/>
        </patternFill>
      </fill>
    </dxf>
    <dxf>
      <font>
        <b/>
        <i val="0"/>
        <condense val="0"/>
        <extend val="0"/>
        <color indexed="10"/>
      </font>
      <fill>
        <patternFill patternType="solid"/>
      </fill>
    </dxf>
    <dxf>
      <font>
        <b/>
        <i val="0"/>
        <condense val="0"/>
        <extend val="0"/>
        <color indexed="12"/>
      </font>
      <fill>
        <patternFill patternType="solid"/>
      </fill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>
          <bgColor indexed="47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61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solid"/>
      </fill>
    </dxf>
    <dxf>
      <font>
        <b/>
        <i val="0"/>
        <condense val="0"/>
        <extend val="0"/>
        <color indexed="12"/>
      </font>
      <fill>
        <patternFill patternType="solid"/>
      </fill>
    </dxf>
    <dxf>
      <font>
        <b/>
        <i val="0"/>
        <strike val="0"/>
        <condense val="0"/>
        <extend val="0"/>
        <color indexed="10"/>
      </font>
      <fill>
        <patternFill>
          <bgColor indexed="47"/>
        </patternFill>
      </fill>
    </dxf>
    <dxf>
      <font>
        <b/>
        <i val="0"/>
        <strike val="0"/>
        <condense val="0"/>
        <extend val="0"/>
        <color indexed="10"/>
      </font>
      <fill>
        <patternFill>
          <bgColor indexed="47"/>
        </patternFill>
      </fill>
    </dxf>
    <dxf>
      <font>
        <strike val="0"/>
        <condense val="0"/>
        <extend val="0"/>
        <color indexed="10"/>
      </font>
      <fill>
        <patternFill>
          <bgColor indexed="47"/>
        </patternFill>
      </fill>
    </dxf>
    <dxf>
      <font>
        <strike val="0"/>
        <condense val="0"/>
        <extend val="0"/>
        <color indexed="10"/>
      </font>
      <fill>
        <patternFill>
          <bgColor indexed="47"/>
        </patternFill>
      </fill>
    </dxf>
    <dxf>
      <font>
        <b/>
        <i val="0"/>
        <condense val="0"/>
        <extend val="0"/>
        <color indexed="10"/>
      </font>
      <fill>
        <patternFill>
          <bgColor indexed="47"/>
        </patternFill>
      </fill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2"/>
      </font>
    </dxf>
    <dxf>
      <font>
        <strike val="0"/>
        <color rgb="FFC0C0C0"/>
      </font>
      <fill>
        <patternFill patternType="solid">
          <fgColor rgb="FFC0C0C0"/>
          <bgColor rgb="FFC0C0C0"/>
        </patternFill>
      </fill>
    </dxf>
    <dxf>
      <font>
        <b val="0"/>
        <i/>
        <condense val="0"/>
        <extend val="0"/>
        <color auto="1"/>
      </font>
      <fill>
        <patternFill patternType="mediumGray">
          <fgColor indexed="22"/>
          <bgColor indexed="9"/>
        </patternFill>
      </fill>
    </dxf>
    <dxf>
      <font>
        <b/>
        <i val="0"/>
        <condense val="0"/>
        <extend val="0"/>
        <color indexed="10"/>
      </font>
      <fill>
        <patternFill patternType="solid"/>
      </fill>
    </dxf>
    <dxf>
      <font>
        <b/>
        <i val="0"/>
        <condense val="0"/>
        <extend val="0"/>
        <color indexed="12"/>
      </font>
      <fill>
        <patternFill patternType="solid"/>
      </fill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>
          <bgColor indexed="47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ont>
        <b/>
        <i val="0"/>
        <condense val="0"/>
        <extend val="0"/>
        <color indexed="61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2"/>
      </font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solid"/>
      </fill>
    </dxf>
    <dxf>
      <font>
        <b/>
        <i val="0"/>
        <condense val="0"/>
        <extend val="0"/>
        <color indexed="12"/>
      </font>
      <fill>
        <patternFill patternType="solid"/>
      </fill>
    </dxf>
    <dxf>
      <font>
        <b/>
        <i val="0"/>
        <strike val="0"/>
        <condense val="0"/>
        <extend val="0"/>
        <color indexed="10"/>
      </font>
      <fill>
        <patternFill>
          <bgColor indexed="47"/>
        </patternFill>
      </fill>
    </dxf>
    <dxf>
      <font>
        <b/>
        <i val="0"/>
        <strike val="0"/>
        <condense val="0"/>
        <extend val="0"/>
        <color indexed="10"/>
      </font>
      <fill>
        <patternFill>
          <bgColor indexed="47"/>
        </patternFill>
      </fill>
    </dxf>
    <dxf>
      <font>
        <strike val="0"/>
        <condense val="0"/>
        <extend val="0"/>
        <color indexed="10"/>
      </font>
      <fill>
        <patternFill>
          <bgColor indexed="47"/>
        </patternFill>
      </fill>
    </dxf>
    <dxf>
      <font>
        <strike val="0"/>
        <condense val="0"/>
        <extend val="0"/>
        <color indexed="10"/>
      </font>
      <fill>
        <patternFill>
          <bgColor indexed="47"/>
        </patternFill>
      </fill>
    </dxf>
    <dxf>
      <font>
        <b/>
        <i val="0"/>
        <condense val="0"/>
        <extend val="0"/>
        <color indexed="10"/>
      </font>
      <fill>
        <patternFill>
          <bgColor indexed="47"/>
        </patternFill>
      </fill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2"/>
      </font>
    </dxf>
    <dxf>
      <font>
        <strike val="0"/>
        <color rgb="FFC0C0C0"/>
      </font>
      <fill>
        <patternFill patternType="solid">
          <fgColor rgb="FFC0C0C0"/>
          <bgColor rgb="FFC0C0C0"/>
        </patternFill>
      </fill>
    </dxf>
    <dxf>
      <font>
        <b val="0"/>
        <i/>
        <condense val="0"/>
        <extend val="0"/>
        <color auto="1"/>
      </font>
      <fill>
        <patternFill patternType="mediumGray">
          <fgColor indexed="22"/>
          <bgColor indexed="9"/>
        </patternFill>
      </fill>
    </dxf>
    <dxf>
      <font>
        <b/>
        <i val="0"/>
        <condense val="0"/>
        <extend val="0"/>
        <color indexed="10"/>
      </font>
      <fill>
        <patternFill patternType="solid"/>
      </fill>
    </dxf>
    <dxf>
      <font>
        <b/>
        <i val="0"/>
        <condense val="0"/>
        <extend val="0"/>
        <color indexed="12"/>
      </font>
      <fill>
        <patternFill patternType="solid"/>
      </fill>
    </dxf>
    <dxf>
      <font>
        <b/>
        <i val="0"/>
        <strike val="0"/>
        <condense val="0"/>
        <extend val="0"/>
        <color indexed="10"/>
      </font>
    </dxf>
    <dxf>
      <font>
        <b/>
        <i val="0"/>
        <strike val="0"/>
        <condense val="0"/>
        <extend val="0"/>
        <color indexed="12"/>
      </font>
    </dxf>
    <dxf>
      <font>
        <b/>
        <i val="0"/>
        <condense val="0"/>
        <extend val="0"/>
        <color indexed="10"/>
      </font>
      <fill>
        <patternFill>
          <bgColor indexed="47"/>
        </patternFill>
      </fill>
    </dxf>
  </dxfs>
  <tableStyles count="0" defaultTableStyle="TableStyleMedium2" defaultPivotStyle="PivotStyleLight16"/>
  <colors>
    <mruColors>
      <color rgb="FFC0C0C0"/>
      <color rgb="FFEAEAEA"/>
      <color rgb="FFFFFF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 sz="2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Rx Diagram / N°4</a:t>
            </a:r>
          </a:p>
        </c:rich>
      </c:tx>
      <c:overlay val="0"/>
      <c:spPr>
        <a:solidFill>
          <a:srgbClr val="CCFFCC"/>
        </a:solidFill>
        <a:ln w="25400">
          <a:noFill/>
        </a:ln>
      </c:spPr>
    </c:title>
    <c:autoTitleDeleted val="0"/>
    <c:plotArea>
      <c:layout/>
      <c:radarChart>
        <c:radarStyle val="marker"/>
        <c:varyColors val="0"/>
        <c:ser>
          <c:idx val="1"/>
          <c:order val="0"/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0CF-426D-853B-463F7EFB7145}"/>
            </c:ext>
          </c:extLst>
        </c:ser>
        <c:ser>
          <c:idx val="2"/>
          <c:order val="1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60CF-426D-853B-463F7EFB7145}"/>
            </c:ext>
          </c:extLst>
        </c:ser>
        <c:ser>
          <c:idx val="0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60CF-426D-853B-463F7EFB7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35264"/>
        <c:axId val="90808704"/>
      </c:radarChart>
      <c:catAx>
        <c:axId val="5583526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l-PL"/>
          </a:p>
        </c:txPr>
        <c:crossAx val="90808704"/>
        <c:crosses val="autoZero"/>
        <c:auto val="0"/>
        <c:lblAlgn val="ctr"/>
        <c:lblOffset val="100"/>
        <c:noMultiLvlLbl val="0"/>
      </c:catAx>
      <c:valAx>
        <c:axId val="90808704"/>
        <c:scaling>
          <c:orientation val="minMax"/>
          <c:max val="70"/>
          <c:min val="3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l-PL"/>
          </a:p>
        </c:txPr>
        <c:crossAx val="55835264"/>
        <c:crosses val="autoZero"/>
        <c:crossBetween val="between"/>
        <c:majorUnit val="10"/>
        <c:minorUnit val="1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l-PL"/>
    </a:p>
  </c:txPr>
  <c:printSettings>
    <c:headerFooter alignWithMargins="0"/>
    <c:pageMargins b="1" l="0.750000000000005" r="0.750000000000005" t="1" header="0.49212598450000244" footer="0.49212598450000244"/>
    <c:pageSetup paperSize="9" orientation="landscape" horizontalDpi="300" verticalDpi="3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 sz="2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Rx Diagram / N°3</a:t>
            </a:r>
          </a:p>
        </c:rich>
      </c:tx>
      <c:overlay val="0"/>
      <c:spPr>
        <a:solidFill>
          <a:srgbClr val="CCFFCC"/>
        </a:solidFill>
        <a:ln w="25400">
          <a:noFill/>
        </a:ln>
      </c:spPr>
    </c:title>
    <c:autoTitleDeleted val="0"/>
    <c:plotArea>
      <c:layout/>
      <c:radarChart>
        <c:radarStyle val="marker"/>
        <c:varyColors val="0"/>
        <c:ser>
          <c:idx val="1"/>
          <c:order val="0"/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E897-41B2-B9AF-A66E852A5BC2}"/>
            </c:ext>
          </c:extLst>
        </c:ser>
        <c:ser>
          <c:idx val="2"/>
          <c:order val="1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E897-41B2-B9AF-A66E852A5BC2}"/>
            </c:ext>
          </c:extLst>
        </c:ser>
        <c:ser>
          <c:idx val="0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E897-41B2-B9AF-A66E852A5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134400"/>
        <c:axId val="130136704"/>
      </c:radarChart>
      <c:catAx>
        <c:axId val="13013440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l-PL"/>
          </a:p>
        </c:txPr>
        <c:crossAx val="130136704"/>
        <c:crosses val="autoZero"/>
        <c:auto val="0"/>
        <c:lblAlgn val="ctr"/>
        <c:lblOffset val="100"/>
        <c:noMultiLvlLbl val="0"/>
      </c:catAx>
      <c:valAx>
        <c:axId val="130136704"/>
        <c:scaling>
          <c:orientation val="minMax"/>
          <c:max val="70"/>
          <c:min val="3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l-PL"/>
          </a:p>
        </c:txPr>
        <c:crossAx val="130134400"/>
        <c:crosses val="autoZero"/>
        <c:crossBetween val="between"/>
        <c:majorUnit val="10"/>
        <c:minorUnit val="1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l-PL"/>
    </a:p>
  </c:txPr>
  <c:printSettings>
    <c:headerFooter alignWithMargins="0"/>
    <c:pageMargins b="1" l="0.750000000000005" r="0.750000000000005" t="1" header="0.49212598450000244" footer="0.49212598450000244"/>
    <c:pageSetup paperSize="9" orientation="landscape" horizontalDpi="300" verticalDpi="300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 sz="275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Rx Diagram / N°2</a:t>
            </a:r>
          </a:p>
        </c:rich>
      </c:tx>
      <c:overlay val="0"/>
      <c:spPr>
        <a:solidFill>
          <a:srgbClr val="CCFFCC"/>
        </a:solidFill>
        <a:ln w="25400">
          <a:noFill/>
        </a:ln>
      </c:spPr>
    </c:title>
    <c:autoTitleDeleted val="0"/>
    <c:plotArea>
      <c:layout/>
      <c:radarChart>
        <c:radarStyle val="marker"/>
        <c:varyColors val="0"/>
        <c:ser>
          <c:idx val="1"/>
          <c:order val="0"/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046-43B2-83A2-4014731F9D43}"/>
            </c:ext>
          </c:extLst>
        </c:ser>
        <c:ser>
          <c:idx val="2"/>
          <c:order val="1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A046-43B2-83A2-4014731F9D43}"/>
            </c:ext>
          </c:extLst>
        </c:ser>
        <c:ser>
          <c:idx val="0"/>
          <c:order val="2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A046-43B2-83A2-4014731F9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155392"/>
        <c:axId val="146156928"/>
      </c:radarChart>
      <c:catAx>
        <c:axId val="146155392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l-PL"/>
          </a:p>
        </c:txPr>
        <c:crossAx val="146156928"/>
        <c:crosses val="autoZero"/>
        <c:auto val="0"/>
        <c:lblAlgn val="ctr"/>
        <c:lblOffset val="100"/>
        <c:noMultiLvlLbl val="0"/>
      </c:catAx>
      <c:valAx>
        <c:axId val="146156928"/>
        <c:scaling>
          <c:orientation val="minMax"/>
          <c:max val="70"/>
          <c:min val="3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l-PL"/>
          </a:p>
        </c:txPr>
        <c:crossAx val="146155392"/>
        <c:crosses val="autoZero"/>
        <c:crossBetween val="between"/>
        <c:majorUnit val="10"/>
        <c:minorUnit val="1"/>
      </c:valAx>
      <c:spPr>
        <a:noFill/>
        <a:ln w="25400">
          <a:noFill/>
        </a:ln>
      </c:spPr>
    </c:plotArea>
    <c:legend>
      <c:legendPos val="b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l-PL"/>
    </a:p>
  </c:txPr>
  <c:printSettings>
    <c:headerFooter alignWithMargins="0"/>
    <c:pageMargins b="1" l="0.750000000000005" r="0.750000000000005" t="1" header="0.49212598450000244" footer="0.49212598450000244"/>
    <c:pageSetup paperSize="9" orientation="landscape" horizontalDpi="300" verticalDpi="300"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321587514884618E-2"/>
          <c:y val="3.5519220455570412E-2"/>
          <c:w val="0.93460614809443654"/>
          <c:h val="0.93716097048158564"/>
        </c:manualLayout>
      </c:layout>
      <c:radarChart>
        <c:radarStyle val="marker"/>
        <c:varyColors val="0"/>
        <c:ser>
          <c:idx val="0"/>
          <c:order val="0"/>
          <c:tx>
            <c:v>Limit SOMFY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'1'!$B$22:$D$33</c:f>
              <c:strCache>
                <c:ptCount val="12"/>
                <c:pt idx="0">
                  <c:v>0 °</c:v>
                </c:pt>
                <c:pt idx="1">
                  <c:v>30 °</c:v>
                </c:pt>
                <c:pt idx="2">
                  <c:v>60 °</c:v>
                </c:pt>
                <c:pt idx="3">
                  <c:v>90 °</c:v>
                </c:pt>
                <c:pt idx="4">
                  <c:v>120 °</c:v>
                </c:pt>
                <c:pt idx="5">
                  <c:v>150 °</c:v>
                </c:pt>
                <c:pt idx="6">
                  <c:v>180 °</c:v>
                </c:pt>
                <c:pt idx="7">
                  <c:v>210 °</c:v>
                </c:pt>
                <c:pt idx="8">
                  <c:v>240 °</c:v>
                </c:pt>
                <c:pt idx="9">
                  <c:v>270 °</c:v>
                </c:pt>
                <c:pt idx="10">
                  <c:v>300 °</c:v>
                </c:pt>
                <c:pt idx="11">
                  <c:v>330 °</c:v>
                </c:pt>
              </c:strCache>
            </c:strRef>
          </c:cat>
          <c:val>
            <c:numRef>
              <c:f>'1'!$T$22:$T$33</c:f>
              <c:numCache>
                <c:formatCode>0</c:formatCode>
                <c:ptCount val="12"/>
                <c:pt idx="0">
                  <c:v>49.004982166387222</c:v>
                </c:pt>
                <c:pt idx="1">
                  <c:v>49.004982166387222</c:v>
                </c:pt>
                <c:pt idx="2">
                  <c:v>49.004982166387222</c:v>
                </c:pt>
                <c:pt idx="3">
                  <c:v>49.004982166387222</c:v>
                </c:pt>
                <c:pt idx="4">
                  <c:v>49.004982166387222</c:v>
                </c:pt>
                <c:pt idx="5">
                  <c:v>49.004982166387222</c:v>
                </c:pt>
                <c:pt idx="6">
                  <c:v>49.004982166387222</c:v>
                </c:pt>
                <c:pt idx="7">
                  <c:v>49.004982166387222</c:v>
                </c:pt>
                <c:pt idx="8">
                  <c:v>49.004982166387222</c:v>
                </c:pt>
                <c:pt idx="9">
                  <c:v>49.004982166387222</c:v>
                </c:pt>
                <c:pt idx="10">
                  <c:v>49.004982166387222</c:v>
                </c:pt>
                <c:pt idx="11">
                  <c:v>49.004982166387222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F-46A4-8AF3-8BDF648A1194}"/>
            </c:ext>
          </c:extLst>
        </c:ser>
        <c:ser>
          <c:idx val="1"/>
          <c:order val="1"/>
          <c:tx>
            <c:strRef>
              <c:f>'1'!$I$20:$L$20</c:f>
              <c:strCache>
                <c:ptCount val="1"/>
                <c:pt idx="0">
                  <c:v>Polar H 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'1'!$I$22:$I$33</c:f>
              <c:numCache>
                <c:formatCode>#\ ##0\ "dBµV/m"</c:formatCode>
                <c:ptCount val="12"/>
                <c:pt idx="0">
                  <c:v>94.23575386158322</c:v>
                </c:pt>
                <c:pt idx="1">
                  <c:v>94.23575386158322</c:v>
                </c:pt>
                <c:pt idx="2">
                  <c:v>94.23575386158322</c:v>
                </c:pt>
                <c:pt idx="3">
                  <c:v>94.23575386158322</c:v>
                </c:pt>
                <c:pt idx="4">
                  <c:v>94.23575386158322</c:v>
                </c:pt>
                <c:pt idx="5">
                  <c:v>94.23575386158322</c:v>
                </c:pt>
                <c:pt idx="6">
                  <c:v>94.23575386158322</c:v>
                </c:pt>
                <c:pt idx="7">
                  <c:v>94.23575386158322</c:v>
                </c:pt>
                <c:pt idx="8">
                  <c:v>94.23575386158322</c:v>
                </c:pt>
                <c:pt idx="9">
                  <c:v>94.23575386158322</c:v>
                </c:pt>
                <c:pt idx="10">
                  <c:v>94.23575386158322</c:v>
                </c:pt>
                <c:pt idx="11">
                  <c:v>94.23575386158322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6F-46A4-8AF3-8BDF648A1194}"/>
            </c:ext>
          </c:extLst>
        </c:ser>
        <c:ser>
          <c:idx val="2"/>
          <c:order val="2"/>
          <c:tx>
            <c:strRef>
              <c:f>'1'!$M$20:$P$20</c:f>
              <c:strCache>
                <c:ptCount val="1"/>
                <c:pt idx="0">
                  <c:v>Polar V 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val>
            <c:numRef>
              <c:f>'1'!$M$22:$M$33</c:f>
              <c:numCache>
                <c:formatCode>#\ ##0\ "dBµV/m"</c:formatCode>
                <c:ptCount val="12"/>
                <c:pt idx="0">
                  <c:v>94.23575386158322</c:v>
                </c:pt>
                <c:pt idx="1">
                  <c:v>94.23575386158322</c:v>
                </c:pt>
                <c:pt idx="2">
                  <c:v>94.23575386158322</c:v>
                </c:pt>
                <c:pt idx="3">
                  <c:v>94.23575386158322</c:v>
                </c:pt>
                <c:pt idx="4">
                  <c:v>94.23575386158322</c:v>
                </c:pt>
                <c:pt idx="5">
                  <c:v>94.23575386158322</c:v>
                </c:pt>
                <c:pt idx="6">
                  <c:v>94.23575386158322</c:v>
                </c:pt>
                <c:pt idx="7">
                  <c:v>94.23575386158322</c:v>
                </c:pt>
                <c:pt idx="8">
                  <c:v>94.23575386158322</c:v>
                </c:pt>
                <c:pt idx="9">
                  <c:v>94.23575386158322</c:v>
                </c:pt>
                <c:pt idx="10">
                  <c:v>94.23575386158322</c:v>
                </c:pt>
                <c:pt idx="11">
                  <c:v>94.23575386158322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6F-46A4-8AF3-8BDF648A1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42880"/>
        <c:axId val="155244800"/>
      </c:radarChart>
      <c:catAx>
        <c:axId val="15524288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l-PL"/>
          </a:p>
        </c:txPr>
        <c:crossAx val="155244800"/>
        <c:crosses val="autoZero"/>
        <c:auto val="0"/>
        <c:lblAlgn val="ctr"/>
        <c:lblOffset val="100"/>
        <c:noMultiLvlLbl val="0"/>
      </c:catAx>
      <c:valAx>
        <c:axId val="155244800"/>
        <c:scaling>
          <c:orientation val="minMax"/>
          <c:max val="8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\ &quot;dBµV/m&quot;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l-PL"/>
          </a:p>
        </c:txPr>
        <c:crossAx val="155242880"/>
        <c:crosses val="autoZero"/>
        <c:crossBetween val="between"/>
        <c:majorUnit val="20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1389731596901884"/>
          <c:y val="0.80874546419403115"/>
          <c:w val="0.27520464574080838"/>
          <c:h val="0.17759620211408134"/>
        </c:manualLayout>
      </c:layout>
      <c:overlay val="0"/>
      <c:spPr>
        <a:solidFill>
          <a:srgbClr val="FFFFFF"/>
        </a:solidFill>
        <a:ln w="25400">
          <a:solidFill>
            <a:srgbClr val="80808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l-PL"/>
        </a:p>
      </c:txPr>
    </c:legend>
    <c:plotVisOnly val="1"/>
    <c:dispBlanksAs val="gap"/>
    <c:showDLblsOverMax val="0"/>
  </c:chart>
  <c:spPr>
    <a:gradFill rotWithShape="0">
      <a:gsLst>
        <a:gs pos="0">
          <a:srgbClr val="FFFFFF"/>
        </a:gs>
        <a:gs pos="100000">
          <a:srgbClr val="C2C2C2">
            <a:gamma/>
            <a:shade val="76078"/>
            <a:invGamma/>
          </a:srgbClr>
        </a:gs>
      </a:gsLst>
      <a:path path="rect">
        <a:fillToRect l="50000" t="50000" r="50000" b="50000"/>
      </a:path>
    </a:gra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l-PL"/>
    </a:p>
  </c:txPr>
  <c:printSettings>
    <c:headerFooter alignWithMargins="0"/>
    <c:pageMargins b="1" l="0.750000000000005" r="0.750000000000005" t="1" header="0.49212598450000244" footer="0.49212598450000244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321587514884618E-2"/>
          <c:y val="3.5519220455570412E-2"/>
          <c:w val="0.93460614809443654"/>
          <c:h val="0.93716097048158564"/>
        </c:manualLayout>
      </c:layout>
      <c:radarChart>
        <c:radarStyle val="marker"/>
        <c:varyColors val="0"/>
        <c:ser>
          <c:idx val="0"/>
          <c:order val="0"/>
          <c:tx>
            <c:v>Limit SOMFY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'1'!$B$22:$D$33</c:f>
              <c:strCache>
                <c:ptCount val="12"/>
                <c:pt idx="0">
                  <c:v>0 °</c:v>
                </c:pt>
                <c:pt idx="1">
                  <c:v>30 °</c:v>
                </c:pt>
                <c:pt idx="2">
                  <c:v>60 °</c:v>
                </c:pt>
                <c:pt idx="3">
                  <c:v>90 °</c:v>
                </c:pt>
                <c:pt idx="4">
                  <c:v>120 °</c:v>
                </c:pt>
                <c:pt idx="5">
                  <c:v>150 °</c:v>
                </c:pt>
                <c:pt idx="6">
                  <c:v>180 °</c:v>
                </c:pt>
                <c:pt idx="7">
                  <c:v>210 °</c:v>
                </c:pt>
                <c:pt idx="8">
                  <c:v>240 °</c:v>
                </c:pt>
                <c:pt idx="9">
                  <c:v>270 °</c:v>
                </c:pt>
                <c:pt idx="10">
                  <c:v>300 °</c:v>
                </c:pt>
                <c:pt idx="11">
                  <c:v>330 °</c:v>
                </c:pt>
              </c:strCache>
            </c:strRef>
          </c:cat>
          <c:val>
            <c:numRef>
              <c:f>'1'!$T$22:$T$33</c:f>
              <c:numCache>
                <c:formatCode>0</c:formatCode>
                <c:ptCount val="12"/>
                <c:pt idx="0">
                  <c:v>49.004982166387222</c:v>
                </c:pt>
                <c:pt idx="1">
                  <c:v>49.004982166387222</c:v>
                </c:pt>
                <c:pt idx="2">
                  <c:v>49.004982166387222</c:v>
                </c:pt>
                <c:pt idx="3">
                  <c:v>49.004982166387222</c:v>
                </c:pt>
                <c:pt idx="4">
                  <c:v>49.004982166387222</c:v>
                </c:pt>
                <c:pt idx="5">
                  <c:v>49.004982166387222</c:v>
                </c:pt>
                <c:pt idx="6">
                  <c:v>49.004982166387222</c:v>
                </c:pt>
                <c:pt idx="7">
                  <c:v>49.004982166387222</c:v>
                </c:pt>
                <c:pt idx="8">
                  <c:v>49.004982166387222</c:v>
                </c:pt>
                <c:pt idx="9">
                  <c:v>49.004982166387222</c:v>
                </c:pt>
                <c:pt idx="10">
                  <c:v>49.004982166387222</c:v>
                </c:pt>
                <c:pt idx="11">
                  <c:v>49.004982166387222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CE-43F0-9C43-AB3218A2F280}"/>
            </c:ext>
          </c:extLst>
        </c:ser>
        <c:ser>
          <c:idx val="1"/>
          <c:order val="1"/>
          <c:tx>
            <c:strRef>
              <c:f>'2'!$I$20:$L$20</c:f>
              <c:strCache>
                <c:ptCount val="1"/>
                <c:pt idx="0">
                  <c:v>Polar H 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'2'!$I$22:$I$33</c:f>
              <c:numCache>
                <c:formatCode>#\ ##0\ "dBµV/m"</c:formatCode>
                <c:ptCount val="12"/>
                <c:pt idx="0">
                  <c:v>85.132987222256105</c:v>
                </c:pt>
                <c:pt idx="1">
                  <c:v>215.13298722225608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CE-43F0-9C43-AB3218A2F280}"/>
            </c:ext>
          </c:extLst>
        </c:ser>
        <c:ser>
          <c:idx val="2"/>
          <c:order val="2"/>
          <c:tx>
            <c:strRef>
              <c:f>'2'!$M$20:$P$20</c:f>
              <c:strCache>
                <c:ptCount val="1"/>
                <c:pt idx="0">
                  <c:v>Polar V 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val>
            <c:numRef>
              <c:f>'2'!$M$22:$M$33</c:f>
              <c:numCache>
                <c:formatCode>#\ ##0\ "dBµV/m"</c:formatCode>
                <c:ptCount val="12"/>
                <c:pt idx="0">
                  <c:v>95.132987222256119</c:v>
                </c:pt>
                <c:pt idx="1">
                  <c:v>95.132987222256119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CE-43F0-9C43-AB3218A2F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42880"/>
        <c:axId val="155244800"/>
      </c:radarChart>
      <c:catAx>
        <c:axId val="15524288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l-PL"/>
          </a:p>
        </c:txPr>
        <c:crossAx val="155244800"/>
        <c:crosses val="autoZero"/>
        <c:auto val="0"/>
        <c:lblAlgn val="ctr"/>
        <c:lblOffset val="100"/>
        <c:noMultiLvlLbl val="0"/>
      </c:catAx>
      <c:valAx>
        <c:axId val="155244800"/>
        <c:scaling>
          <c:orientation val="minMax"/>
          <c:max val="8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\ &quot;dBµV/m&quot;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l-PL"/>
          </a:p>
        </c:txPr>
        <c:crossAx val="155242880"/>
        <c:crosses val="autoZero"/>
        <c:crossBetween val="between"/>
        <c:majorUnit val="20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1389731596901884"/>
          <c:y val="0.80874546419403115"/>
          <c:w val="0.27520464574080838"/>
          <c:h val="0.17759620211408134"/>
        </c:manualLayout>
      </c:layout>
      <c:overlay val="0"/>
      <c:spPr>
        <a:solidFill>
          <a:srgbClr val="FFFFFF"/>
        </a:solidFill>
        <a:ln w="25400">
          <a:solidFill>
            <a:srgbClr val="80808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l-PL"/>
        </a:p>
      </c:txPr>
    </c:legend>
    <c:plotVisOnly val="1"/>
    <c:dispBlanksAs val="gap"/>
    <c:showDLblsOverMax val="0"/>
  </c:chart>
  <c:spPr>
    <a:gradFill rotWithShape="0">
      <a:gsLst>
        <a:gs pos="0">
          <a:srgbClr val="FFFFFF"/>
        </a:gs>
        <a:gs pos="100000">
          <a:srgbClr val="C2C2C2">
            <a:gamma/>
            <a:shade val="76078"/>
            <a:invGamma/>
          </a:srgbClr>
        </a:gs>
      </a:gsLst>
      <a:path path="rect">
        <a:fillToRect l="50000" t="50000" r="50000" b="50000"/>
      </a:path>
    </a:gra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l-PL"/>
    </a:p>
  </c:txPr>
  <c:printSettings>
    <c:headerFooter alignWithMargins="0"/>
    <c:pageMargins b="1" l="0.750000000000005" r="0.750000000000005" t="1" header="0.49212598450000244" footer="0.49212598450000244"/>
    <c:pageSetup paperSize="9" orientation="landscape" horizontalDpi="300" verticalDpi="3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321587514884618E-2"/>
          <c:y val="3.5519220455570412E-2"/>
          <c:w val="0.93460614809443654"/>
          <c:h val="0.93716097048158564"/>
        </c:manualLayout>
      </c:layout>
      <c:radarChart>
        <c:radarStyle val="marker"/>
        <c:varyColors val="0"/>
        <c:ser>
          <c:idx val="0"/>
          <c:order val="0"/>
          <c:tx>
            <c:v>Limit SOMFY</c:v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strRef>
              <c:f>'1'!$B$22:$D$33</c:f>
              <c:strCache>
                <c:ptCount val="12"/>
                <c:pt idx="0">
                  <c:v>0 °</c:v>
                </c:pt>
                <c:pt idx="1">
                  <c:v>30 °</c:v>
                </c:pt>
                <c:pt idx="2">
                  <c:v>60 °</c:v>
                </c:pt>
                <c:pt idx="3">
                  <c:v>90 °</c:v>
                </c:pt>
                <c:pt idx="4">
                  <c:v>120 °</c:v>
                </c:pt>
                <c:pt idx="5">
                  <c:v>150 °</c:v>
                </c:pt>
                <c:pt idx="6">
                  <c:v>180 °</c:v>
                </c:pt>
                <c:pt idx="7">
                  <c:v>210 °</c:v>
                </c:pt>
                <c:pt idx="8">
                  <c:v>240 °</c:v>
                </c:pt>
                <c:pt idx="9">
                  <c:v>270 °</c:v>
                </c:pt>
                <c:pt idx="10">
                  <c:v>300 °</c:v>
                </c:pt>
                <c:pt idx="11">
                  <c:v>330 °</c:v>
                </c:pt>
              </c:strCache>
            </c:strRef>
          </c:cat>
          <c:val>
            <c:numRef>
              <c:f>'1'!$T$22:$T$33</c:f>
              <c:numCache>
                <c:formatCode>0</c:formatCode>
                <c:ptCount val="12"/>
                <c:pt idx="0">
                  <c:v>49.004982166387222</c:v>
                </c:pt>
                <c:pt idx="1">
                  <c:v>49.004982166387222</c:v>
                </c:pt>
                <c:pt idx="2">
                  <c:v>49.004982166387222</c:v>
                </c:pt>
                <c:pt idx="3">
                  <c:v>49.004982166387222</c:v>
                </c:pt>
                <c:pt idx="4">
                  <c:v>49.004982166387222</c:v>
                </c:pt>
                <c:pt idx="5">
                  <c:v>49.004982166387222</c:v>
                </c:pt>
                <c:pt idx="6">
                  <c:v>49.004982166387222</c:v>
                </c:pt>
                <c:pt idx="7">
                  <c:v>49.004982166387222</c:v>
                </c:pt>
                <c:pt idx="8">
                  <c:v>49.004982166387222</c:v>
                </c:pt>
                <c:pt idx="9">
                  <c:v>49.004982166387222</c:v>
                </c:pt>
                <c:pt idx="10">
                  <c:v>49.004982166387222</c:v>
                </c:pt>
                <c:pt idx="11">
                  <c:v>49.004982166387222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0-4FEB-9D1C-01A76D57E449}"/>
            </c:ext>
          </c:extLst>
        </c:ser>
        <c:ser>
          <c:idx val="1"/>
          <c:order val="1"/>
          <c:tx>
            <c:strRef>
              <c:f>'3'!$I$20:$L$20</c:f>
              <c:strCache>
                <c:ptCount val="1"/>
                <c:pt idx="0">
                  <c:v>Polar H </c:v>
                </c:pt>
              </c:strCache>
            </c:strRef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'3'!$I$22:$I$33</c:f>
              <c:numCache>
                <c:formatCode>#\ ##0\ "dBµV/m"</c:formatCode>
                <c:ptCount val="12"/>
                <c:pt idx="0">
                  <c:v>96.357316793275658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0-4FEB-9D1C-01A76D57E449}"/>
            </c:ext>
          </c:extLst>
        </c:ser>
        <c:ser>
          <c:idx val="2"/>
          <c:order val="2"/>
          <c:tx>
            <c:strRef>
              <c:f>'3'!$M$20:$P$20</c:f>
              <c:strCache>
                <c:ptCount val="1"/>
                <c:pt idx="0">
                  <c:v>Polar V </c:v>
                </c:pt>
              </c:strCache>
            </c:strRef>
          </c:tx>
          <c:spPr>
            <a:ln w="25400">
              <a:solidFill>
                <a:srgbClr val="800000"/>
              </a:solidFill>
              <a:prstDash val="solid"/>
            </a:ln>
          </c:spPr>
          <c:marker>
            <c:symbol val="none"/>
          </c:marker>
          <c:val>
            <c:numRef>
              <c:f>'3'!$M$22:$M$33</c:f>
              <c:numCache>
                <c:formatCode>#\ ##0\ "dBµV/m"</c:formatCode>
                <c:ptCount val="12"/>
                <c:pt idx="0">
                  <c:v>96.357316793275658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D0-4FEB-9D1C-01A76D57E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242880"/>
        <c:axId val="155244800"/>
      </c:radarChart>
      <c:catAx>
        <c:axId val="15524288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l-PL"/>
          </a:p>
        </c:txPr>
        <c:crossAx val="155244800"/>
        <c:crosses val="autoZero"/>
        <c:auto val="0"/>
        <c:lblAlgn val="ctr"/>
        <c:lblOffset val="100"/>
        <c:noMultiLvlLbl val="0"/>
      </c:catAx>
      <c:valAx>
        <c:axId val="155244800"/>
        <c:scaling>
          <c:orientation val="minMax"/>
          <c:max val="8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,##0\ &quot;dBµV/m&quot;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6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l-PL"/>
          </a:p>
        </c:txPr>
        <c:crossAx val="155242880"/>
        <c:crosses val="autoZero"/>
        <c:crossBetween val="between"/>
        <c:majorUnit val="20"/>
        <c:minorUnit val="2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1389731596901884"/>
          <c:y val="0.80874546419403115"/>
          <c:w val="0.27520464574080838"/>
          <c:h val="0.17759620211408134"/>
        </c:manualLayout>
      </c:layout>
      <c:overlay val="0"/>
      <c:spPr>
        <a:solidFill>
          <a:srgbClr val="FFFFFF"/>
        </a:solidFill>
        <a:ln w="25400">
          <a:solidFill>
            <a:srgbClr val="808080"/>
          </a:solidFill>
          <a:prstDash val="solid"/>
        </a:ln>
        <a:effectLst>
          <a:outerShdw dist="35921" dir="2700000" algn="br">
            <a:srgbClr val="000000"/>
          </a:outerShdw>
        </a:effectLst>
      </c:spPr>
      <c:txPr>
        <a:bodyPr/>
        <a:lstStyle/>
        <a:p>
          <a:pPr>
            <a:defRPr sz="5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l-PL"/>
        </a:p>
      </c:txPr>
    </c:legend>
    <c:plotVisOnly val="1"/>
    <c:dispBlanksAs val="gap"/>
    <c:showDLblsOverMax val="0"/>
  </c:chart>
  <c:spPr>
    <a:gradFill rotWithShape="0">
      <a:gsLst>
        <a:gs pos="0">
          <a:srgbClr val="FFFFFF"/>
        </a:gs>
        <a:gs pos="100000">
          <a:srgbClr val="C2C2C2">
            <a:gamma/>
            <a:shade val="76078"/>
            <a:invGamma/>
          </a:srgbClr>
        </a:gs>
      </a:gsLst>
      <a:path path="rect">
        <a:fillToRect l="50000" t="50000" r="50000" b="50000"/>
      </a:path>
    </a:gra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l-PL"/>
    </a:p>
  </c:txPr>
  <c:printSettings>
    <c:headerFooter alignWithMargins="0"/>
    <c:pageMargins b="1" l="0.750000000000005" r="0.750000000000005" t="1" header="0.49212598450000244" footer="0.49212598450000244"/>
    <c:pageSetup paperSize="9"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0</xdr:row>
      <xdr:rowOff>0</xdr:rowOff>
    </xdr:from>
    <xdr:to>
      <xdr:col>15</xdr:col>
      <xdr:colOff>0</xdr:colOff>
      <xdr:row>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38100</xdr:colOff>
      <xdr:row>0</xdr:row>
      <xdr:rowOff>0</xdr:rowOff>
    </xdr:from>
    <xdr:to>
      <xdr:col>15</xdr:col>
      <xdr:colOff>0</xdr:colOff>
      <xdr:row>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9525</xdr:colOff>
      <xdr:row>0</xdr:row>
      <xdr:rowOff>0</xdr:rowOff>
    </xdr:from>
    <xdr:to>
      <xdr:col>15</xdr:col>
      <xdr:colOff>0</xdr:colOff>
      <xdr:row>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38</xdr:row>
      <xdr:rowOff>85725</xdr:rowOff>
    </xdr:from>
    <xdr:to>
      <xdr:col>8</xdr:col>
      <xdr:colOff>160020</xdr:colOff>
      <xdr:row>60</xdr:row>
      <xdr:rowOff>125730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0.50795</cdr:x>
      <cdr:y>0.68469</cdr:y>
    </cdr:from>
    <cdr:to>
      <cdr:x>0.51397</cdr:x>
      <cdr:y>0.70078</cdr:y>
    </cdr:to>
    <cdr:sp macro="" textlink="">
      <cdr:nvSpPr>
        <cdr:cNvPr id="2049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19163" y="505340"/>
          <a:ext cx="15597" cy="118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18288" tIns="18288" rIns="18288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fr-FR" sz="125" b="0" i="0" u="none" strike="noStrike" baseline="0">
              <a:solidFill>
                <a:srgbClr val="000000"/>
              </a:solidFill>
              <a:latin typeface="Arial"/>
              <a:cs typeface="Arial"/>
            </a:rPr>
            <a:t>315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0.50891</cdr:x>
      <cdr:y>0.69056</cdr:y>
    </cdr:from>
    <cdr:to>
      <cdr:x>0.51613</cdr:x>
      <cdr:y>0.70731</cdr:y>
    </cdr:to>
    <cdr:sp macro="" textlink="">
      <cdr:nvSpPr>
        <cdr:cNvPr id="307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11958" y="509648"/>
          <a:ext cx="18573" cy="122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18288" tIns="18288" rIns="18288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fr-FR" sz="125" b="0" i="0" u="none" strike="noStrike" baseline="0">
              <a:solidFill>
                <a:srgbClr val="000000"/>
              </a:solidFill>
              <a:latin typeface="Arial"/>
              <a:cs typeface="Arial"/>
            </a:rPr>
            <a:t>315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0.50602</cdr:x>
      <cdr:y>0.69056</cdr:y>
    </cdr:from>
    <cdr:to>
      <cdr:x>0.51349</cdr:x>
      <cdr:y>0.70731</cdr:y>
    </cdr:to>
    <cdr:sp macro="" textlink="">
      <cdr:nvSpPr>
        <cdr:cNvPr id="4097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318994" y="509648"/>
          <a:ext cx="19415" cy="1228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wrap="square" lIns="18288" tIns="18288" rIns="18288" bIns="18288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fr-FR" sz="125" b="0" i="0" u="none" strike="noStrike" baseline="0">
              <a:solidFill>
                <a:srgbClr val="000000"/>
              </a:solidFill>
              <a:latin typeface="Arial"/>
              <a:cs typeface="Arial"/>
            </a:rPr>
            <a:t>315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38</xdr:row>
      <xdr:rowOff>85725</xdr:rowOff>
    </xdr:from>
    <xdr:to>
      <xdr:col>8</xdr:col>
      <xdr:colOff>323850</xdr:colOff>
      <xdr:row>60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38</xdr:row>
      <xdr:rowOff>85725</xdr:rowOff>
    </xdr:from>
    <xdr:to>
      <xdr:col>8</xdr:col>
      <xdr:colOff>323850</xdr:colOff>
      <xdr:row>60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A76"/>
  <sheetViews>
    <sheetView view="pageBreakPreview" zoomScaleNormal="100" zoomScaleSheetLayoutView="100" workbookViewId="0">
      <selection activeCell="W19" sqref="W19"/>
    </sheetView>
  </sheetViews>
  <sheetFormatPr defaultColWidth="11.44140625" defaultRowHeight="10.199999999999999" x14ac:dyDescent="0.2"/>
  <cols>
    <col min="1" max="1" width="4" style="9" customWidth="1"/>
    <col min="2" max="2" width="3.44140625" style="9" customWidth="1"/>
    <col min="3" max="3" width="7" style="8" customWidth="1"/>
    <col min="4" max="4" width="1.44140625" style="8" customWidth="1"/>
    <col min="5" max="8" width="9" style="8" customWidth="1"/>
    <col min="9" max="16" width="5.5546875" style="8" customWidth="1"/>
    <col min="17" max="17" width="3" style="2" customWidth="1"/>
    <col min="18" max="18" width="4.109375" style="2" customWidth="1"/>
    <col min="19" max="19" width="3" style="2" customWidth="1"/>
    <col min="20" max="29" width="10.88671875" style="2" customWidth="1"/>
    <col min="30" max="30" width="11.44140625" style="11"/>
    <col min="31" max="35" width="11.44140625" style="7"/>
    <col min="36" max="16384" width="11.44140625" style="8"/>
  </cols>
  <sheetData>
    <row r="1" spans="1:183" s="4" customFormat="1" ht="10.8" thickBot="1" x14ac:dyDescent="0.25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100" t="s">
        <v>88</v>
      </c>
      <c r="Q1" s="76"/>
      <c r="R1" s="1"/>
      <c r="S1" s="15"/>
      <c r="T1" s="67"/>
      <c r="U1" s="67"/>
      <c r="V1" s="67"/>
      <c r="W1" s="67"/>
      <c r="X1" s="67"/>
      <c r="Y1" s="67"/>
      <c r="Z1" s="67"/>
      <c r="AA1" s="67"/>
      <c r="AB1" s="67"/>
      <c r="AC1" s="67"/>
      <c r="AD1" s="16"/>
      <c r="AE1" s="17"/>
      <c r="AF1" s="3"/>
      <c r="AG1" s="3"/>
      <c r="AH1" s="3"/>
      <c r="AI1" s="3"/>
    </row>
    <row r="2" spans="1:183" s="4" customFormat="1" ht="24" customHeight="1" thickBot="1" x14ac:dyDescent="0.25">
      <c r="A2" s="78"/>
      <c r="B2" s="78"/>
      <c r="C2" s="93"/>
      <c r="D2" s="93"/>
      <c r="E2" s="93"/>
      <c r="F2" s="93"/>
      <c r="G2" s="300" t="s">
        <v>44</v>
      </c>
      <c r="H2" s="301"/>
      <c r="I2" s="301"/>
      <c r="J2" s="301"/>
      <c r="K2" s="302"/>
      <c r="L2" s="93"/>
      <c r="M2" s="93"/>
      <c r="N2" s="303"/>
      <c r="O2" s="304"/>
      <c r="P2" s="304"/>
      <c r="Q2" s="76"/>
      <c r="R2" s="1"/>
      <c r="S2" s="18"/>
      <c r="T2" s="305" t="s">
        <v>90</v>
      </c>
      <c r="U2" s="306"/>
      <c r="V2" s="306"/>
      <c r="W2" s="306"/>
      <c r="X2" s="306"/>
      <c r="Y2" s="306"/>
      <c r="Z2" s="306"/>
      <c r="AA2" s="306"/>
      <c r="AB2" s="306"/>
      <c r="AC2" s="306"/>
      <c r="AD2" s="307"/>
      <c r="AE2" s="19"/>
      <c r="AF2" s="3"/>
      <c r="AG2" s="3"/>
      <c r="AH2" s="3"/>
      <c r="AI2" s="3"/>
    </row>
    <row r="3" spans="1:183" s="4" customFormat="1" ht="14.25" customHeight="1" x14ac:dyDescent="0.2">
      <c r="A3" s="78"/>
      <c r="B3" s="78"/>
      <c r="C3" s="78"/>
      <c r="D3" s="101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6"/>
      <c r="R3" s="1"/>
      <c r="S3" s="18"/>
      <c r="T3" s="296" t="s">
        <v>9</v>
      </c>
      <c r="U3" s="297"/>
      <c r="V3" s="41" t="s">
        <v>64</v>
      </c>
      <c r="W3" s="41" t="s">
        <v>64</v>
      </c>
      <c r="X3" s="41" t="s">
        <v>63</v>
      </c>
      <c r="Y3" s="41" t="s">
        <v>63</v>
      </c>
      <c r="Z3" s="41" t="s">
        <v>64</v>
      </c>
      <c r="AA3" s="41" t="s">
        <v>65</v>
      </c>
      <c r="AB3" s="41" t="s">
        <v>65</v>
      </c>
      <c r="AC3" s="41" t="s">
        <v>65</v>
      </c>
      <c r="AD3" s="61" t="s">
        <v>73</v>
      </c>
      <c r="AE3" s="19"/>
      <c r="AF3" s="3"/>
      <c r="AG3" s="3"/>
      <c r="AH3" s="3"/>
      <c r="AI3" s="3"/>
    </row>
    <row r="4" spans="1:183" s="4" customFormat="1" ht="14.25" customHeight="1" thickBot="1" x14ac:dyDescent="0.25">
      <c r="A4" s="78"/>
      <c r="B4" s="78"/>
      <c r="C4" s="101"/>
      <c r="D4" s="101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6"/>
      <c r="R4" s="1"/>
      <c r="S4" s="18"/>
      <c r="T4" s="284" t="s">
        <v>8</v>
      </c>
      <c r="U4" s="286"/>
      <c r="V4" s="308" t="s">
        <v>5</v>
      </c>
      <c r="W4" s="308" t="s">
        <v>6</v>
      </c>
      <c r="X4" s="308" t="s">
        <v>53</v>
      </c>
      <c r="Y4" s="308" t="s">
        <v>7</v>
      </c>
      <c r="Z4" s="308" t="s">
        <v>27</v>
      </c>
      <c r="AA4" s="284" t="s">
        <v>10</v>
      </c>
      <c r="AB4" s="285"/>
      <c r="AC4" s="285"/>
      <c r="AD4" s="286"/>
      <c r="AE4" s="19"/>
      <c r="AF4" s="3"/>
      <c r="AG4" s="3"/>
      <c r="AH4" s="3"/>
      <c r="AI4" s="3"/>
    </row>
    <row r="5" spans="1:183" s="4" customFormat="1" ht="16.5" customHeight="1" x14ac:dyDescent="0.25">
      <c r="A5" s="78"/>
      <c r="B5" s="102" t="s">
        <v>4</v>
      </c>
      <c r="C5" s="103"/>
      <c r="D5" s="104"/>
      <c r="E5" s="105"/>
      <c r="F5" s="104"/>
      <c r="G5" s="104" t="s">
        <v>15</v>
      </c>
      <c r="H5" s="290" t="s">
        <v>94</v>
      </c>
      <c r="I5" s="291"/>
      <c r="J5" s="291"/>
      <c r="K5" s="291"/>
      <c r="L5" s="291"/>
      <c r="M5" s="291"/>
      <c r="N5" s="291"/>
      <c r="O5" s="291"/>
      <c r="P5" s="292"/>
      <c r="Q5" s="76"/>
      <c r="R5" s="1"/>
      <c r="S5" s="18"/>
      <c r="T5" s="287"/>
      <c r="U5" s="289"/>
      <c r="V5" s="309"/>
      <c r="W5" s="309"/>
      <c r="X5" s="309"/>
      <c r="Y5" s="309"/>
      <c r="Z5" s="309"/>
      <c r="AA5" s="287"/>
      <c r="AB5" s="288"/>
      <c r="AC5" s="288"/>
      <c r="AD5" s="289"/>
      <c r="AE5" s="19"/>
      <c r="AF5" s="3"/>
      <c r="AG5" s="3"/>
      <c r="AH5" s="3"/>
      <c r="AI5" s="3"/>
    </row>
    <row r="6" spans="1:183" s="5" customFormat="1" ht="16.5" customHeight="1" x14ac:dyDescent="0.25">
      <c r="A6" s="72"/>
      <c r="B6" s="106"/>
      <c r="C6" s="72"/>
      <c r="D6" s="73"/>
      <c r="E6" s="74"/>
      <c r="F6" s="73"/>
      <c r="G6" s="73" t="s">
        <v>45</v>
      </c>
      <c r="H6" s="293" t="s">
        <v>95</v>
      </c>
      <c r="I6" s="294"/>
      <c r="J6" s="294"/>
      <c r="K6" s="294"/>
      <c r="L6" s="294"/>
      <c r="M6" s="294"/>
      <c r="N6" s="294"/>
      <c r="O6" s="294"/>
      <c r="P6" s="295"/>
      <c r="Q6" s="76"/>
      <c r="R6" s="1"/>
      <c r="S6" s="18"/>
      <c r="T6" s="296" t="s">
        <v>34</v>
      </c>
      <c r="U6" s="297"/>
      <c r="V6" s="41">
        <v>409.98750000000001</v>
      </c>
      <c r="W6" s="41">
        <v>426.0625</v>
      </c>
      <c r="X6" s="42">
        <v>433.42</v>
      </c>
      <c r="Y6" s="42">
        <v>433.92</v>
      </c>
      <c r="Z6" s="42">
        <v>447.7</v>
      </c>
      <c r="AA6" s="42">
        <v>868.25</v>
      </c>
      <c r="AB6" s="42">
        <v>868.95</v>
      </c>
      <c r="AC6" s="42">
        <v>869.85</v>
      </c>
      <c r="AD6" s="41">
        <v>2400</v>
      </c>
      <c r="AE6" s="128" t="s">
        <v>28</v>
      </c>
      <c r="AF6" s="2"/>
      <c r="AG6" s="2"/>
      <c r="AH6" s="2"/>
    </row>
    <row r="7" spans="1:183" s="5" customFormat="1" ht="16.5" customHeight="1" thickBot="1" x14ac:dyDescent="0.25">
      <c r="A7" s="72"/>
      <c r="B7" s="107"/>
      <c r="C7" s="108"/>
      <c r="D7" s="109"/>
      <c r="E7" s="110"/>
      <c r="F7" s="109"/>
      <c r="G7" s="109" t="s">
        <v>3</v>
      </c>
      <c r="H7" s="298">
        <v>433.42</v>
      </c>
      <c r="I7" s="298"/>
      <c r="J7" s="298"/>
      <c r="K7" s="298"/>
      <c r="L7" s="298"/>
      <c r="M7" s="298"/>
      <c r="N7" s="298"/>
      <c r="O7" s="298"/>
      <c r="P7" s="299"/>
      <c r="Q7" s="76"/>
      <c r="R7" s="1"/>
      <c r="S7" s="18"/>
      <c r="T7" s="278" t="s">
        <v>32</v>
      </c>
      <c r="U7" s="279"/>
      <c r="V7" s="41">
        <v>6.83</v>
      </c>
      <c r="W7" s="41">
        <v>6.93</v>
      </c>
      <c r="X7" s="41">
        <v>6.97</v>
      </c>
      <c r="Y7" s="41">
        <v>6.97</v>
      </c>
      <c r="Z7" s="41">
        <v>7.01</v>
      </c>
      <c r="AA7" s="41"/>
      <c r="AB7" s="41"/>
      <c r="AC7" s="41"/>
      <c r="AD7" s="41"/>
      <c r="AE7" s="20"/>
      <c r="AF7" s="2"/>
      <c r="AG7" s="2"/>
      <c r="AH7" s="2"/>
      <c r="AI7" s="2"/>
    </row>
    <row r="8" spans="1:183" s="5" customFormat="1" ht="16.5" customHeight="1" x14ac:dyDescent="0.2">
      <c r="A8" s="71"/>
      <c r="B8" s="72"/>
      <c r="C8" s="72"/>
      <c r="D8" s="73"/>
      <c r="E8" s="74"/>
      <c r="F8" s="73"/>
      <c r="G8" s="74"/>
      <c r="H8" s="74"/>
      <c r="I8" s="75"/>
      <c r="J8" s="74"/>
      <c r="K8" s="74"/>
      <c r="L8" s="74"/>
      <c r="M8" s="74"/>
      <c r="N8" s="74"/>
      <c r="O8" s="74"/>
      <c r="P8" s="72"/>
      <c r="Q8" s="76"/>
      <c r="R8" s="1"/>
      <c r="S8" s="18"/>
      <c r="T8" s="278" t="s">
        <v>33</v>
      </c>
      <c r="U8" s="279"/>
      <c r="V8" s="41">
        <v>17.8</v>
      </c>
      <c r="W8" s="41">
        <v>17.2</v>
      </c>
      <c r="X8" s="41">
        <v>17</v>
      </c>
      <c r="Y8" s="41">
        <v>17</v>
      </c>
      <c r="Z8" s="41">
        <v>17.100000000000001</v>
      </c>
      <c r="AA8" s="41">
        <v>23</v>
      </c>
      <c r="AB8" s="41">
        <v>23</v>
      </c>
      <c r="AC8" s="41">
        <v>23</v>
      </c>
      <c r="AD8" s="41">
        <v>30</v>
      </c>
      <c r="AE8" s="20"/>
      <c r="AF8" s="2"/>
      <c r="AG8" s="2"/>
      <c r="AH8" s="2"/>
      <c r="AI8" s="2"/>
    </row>
    <row r="9" spans="1:183" s="4" customFormat="1" ht="16.5" customHeight="1" x14ac:dyDescent="0.2">
      <c r="A9" s="77"/>
      <c r="B9" s="31" t="s">
        <v>22</v>
      </c>
      <c r="C9" s="74"/>
      <c r="D9" s="74"/>
      <c r="E9" s="78"/>
      <c r="F9" s="79"/>
      <c r="G9" s="78"/>
      <c r="H9" s="78"/>
      <c r="I9" s="80"/>
      <c r="J9" s="80"/>
      <c r="K9" s="80"/>
      <c r="L9" s="80"/>
      <c r="M9" s="79"/>
      <c r="N9" s="79"/>
      <c r="O9" s="79"/>
      <c r="P9" s="79"/>
      <c r="Q9" s="76"/>
      <c r="R9" s="1"/>
      <c r="S9" s="18"/>
      <c r="T9" s="43"/>
      <c r="U9" s="44"/>
      <c r="V9" s="44"/>
      <c r="W9" s="44"/>
      <c r="X9" s="44"/>
      <c r="Y9" s="44"/>
      <c r="Z9" s="44"/>
      <c r="AA9" s="44"/>
      <c r="AB9" s="45"/>
      <c r="AC9" s="45"/>
      <c r="AD9" s="46"/>
      <c r="AE9" s="20"/>
      <c r="AF9" s="2"/>
      <c r="AG9" s="2"/>
      <c r="AH9" s="2"/>
      <c r="AI9" s="2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</row>
    <row r="10" spans="1:183" s="4" customFormat="1" ht="19.5" customHeight="1" x14ac:dyDescent="0.2">
      <c r="A10" s="77"/>
      <c r="B10" s="78"/>
      <c r="C10" s="268" t="s">
        <v>41</v>
      </c>
      <c r="D10" s="269"/>
      <c r="E10" s="269"/>
      <c r="F10" s="74"/>
      <c r="G10" s="280">
        <f>U11+U12+U13</f>
        <v>6.97</v>
      </c>
      <c r="H10" s="281"/>
      <c r="I10" s="281"/>
      <c r="J10" s="281"/>
      <c r="K10" s="78"/>
      <c r="L10" s="79"/>
      <c r="M10" s="79"/>
      <c r="N10" s="79"/>
      <c r="O10" s="79"/>
      <c r="P10" s="78"/>
      <c r="Q10" s="76"/>
      <c r="R10" s="1"/>
      <c r="S10" s="18"/>
      <c r="T10" s="41"/>
      <c r="U10" s="41" t="s">
        <v>13</v>
      </c>
      <c r="V10" s="41" t="s">
        <v>14</v>
      </c>
      <c r="W10" s="47"/>
      <c r="X10" s="47"/>
      <c r="Y10" s="48" t="s">
        <v>60</v>
      </c>
      <c r="Z10" s="49"/>
      <c r="AA10" s="68"/>
      <c r="AB10" s="68"/>
      <c r="AC10" s="50"/>
      <c r="AD10" s="46"/>
      <c r="AE10" s="19"/>
      <c r="AF10" s="3"/>
      <c r="AG10" s="3"/>
      <c r="AH10" s="3"/>
      <c r="AI10" s="3"/>
    </row>
    <row r="11" spans="1:183" s="4" customFormat="1" ht="12.75" customHeight="1" x14ac:dyDescent="0.2">
      <c r="A11" s="77"/>
      <c r="B11" s="78"/>
      <c r="C11" s="268" t="s">
        <v>42</v>
      </c>
      <c r="D11" s="269"/>
      <c r="E11" s="269"/>
      <c r="F11" s="74"/>
      <c r="G11" s="282">
        <f>V11+V12+V13</f>
        <v>17</v>
      </c>
      <c r="H11" s="283"/>
      <c r="I11" s="283"/>
      <c r="J11" s="283"/>
      <c r="K11" s="78"/>
      <c r="L11" s="79"/>
      <c r="M11" s="79"/>
      <c r="N11" s="79"/>
      <c r="O11" s="79"/>
      <c r="P11" s="78"/>
      <c r="Q11" s="76"/>
      <c r="R11" s="1"/>
      <c r="S11" s="18"/>
      <c r="T11" s="41" t="s">
        <v>11</v>
      </c>
      <c r="U11" s="51">
        <f>IF(H7=V6,V7,IF(H7=W6,W7,IF(H7=X6,X7,IF(H7=Y6,Y7,IF(H7=Z6,Z7,0)))))</f>
        <v>6.97</v>
      </c>
      <c r="V11" s="52">
        <f>IF(H7=V6,V8,IF(H7=W6,W8,IF(H7=X6,X8,IF(H7=Y6,Y8,IF(H7=Z6,Z8,0)))))</f>
        <v>17</v>
      </c>
      <c r="W11" s="47"/>
      <c r="X11" s="47"/>
      <c r="Y11" s="66" t="s">
        <v>89</v>
      </c>
      <c r="Z11" s="62"/>
      <c r="AA11" s="69"/>
      <c r="AB11" s="69"/>
      <c r="AC11" s="63"/>
      <c r="AD11" s="46"/>
      <c r="AE11" s="19"/>
      <c r="AF11" s="3"/>
      <c r="AG11" s="3"/>
    </row>
    <row r="12" spans="1:183" s="4" customFormat="1" ht="12.75" customHeight="1" x14ac:dyDescent="0.2">
      <c r="A12" s="77"/>
      <c r="B12" s="78"/>
      <c r="C12" s="268" t="s">
        <v>1</v>
      </c>
      <c r="D12" s="269"/>
      <c r="E12" s="269"/>
      <c r="F12" s="74"/>
      <c r="G12" s="81">
        <v>3</v>
      </c>
      <c r="H12" s="70"/>
      <c r="I12" s="78"/>
      <c r="J12" s="78"/>
      <c r="K12" s="78"/>
      <c r="L12" s="79"/>
      <c r="M12" s="79"/>
      <c r="N12" s="79"/>
      <c r="O12" s="79"/>
      <c r="P12" s="78"/>
      <c r="Q12" s="76"/>
      <c r="R12" s="1"/>
      <c r="S12" s="18"/>
      <c r="T12" s="41" t="s">
        <v>12</v>
      </c>
      <c r="U12" s="51">
        <f>IF(H7=AA6,AA7,IF(H7=AB6,AB7,IF(H7=AC6,AC7,0)))</f>
        <v>0</v>
      </c>
      <c r="V12" s="52">
        <f>IF(H7=AA6,AA8,IF(H7=AB6,AB8,IF(H7=AC6,AC8,0)))</f>
        <v>0</v>
      </c>
      <c r="W12" s="47"/>
      <c r="X12" s="47"/>
      <c r="Y12" s="65" t="s">
        <v>66</v>
      </c>
      <c r="Z12" s="54"/>
      <c r="AA12" s="45"/>
      <c r="AB12" s="45"/>
      <c r="AC12" s="55"/>
      <c r="AD12" s="46"/>
      <c r="AE12" s="19"/>
      <c r="AF12" s="3"/>
      <c r="AG12" s="3"/>
    </row>
    <row r="13" spans="1:183" ht="12.75" customHeight="1" x14ac:dyDescent="0.3">
      <c r="A13" s="82"/>
      <c r="B13" s="78"/>
      <c r="C13" s="268" t="s">
        <v>2</v>
      </c>
      <c r="D13" s="269"/>
      <c r="E13" s="269"/>
      <c r="F13" s="74"/>
      <c r="G13" s="78" t="s">
        <v>38</v>
      </c>
      <c r="H13" s="83"/>
      <c r="I13" s="82"/>
      <c r="J13" s="82"/>
      <c r="K13" s="78"/>
      <c r="L13" s="84"/>
      <c r="M13" s="84"/>
      <c r="N13" s="84"/>
      <c r="O13" s="84"/>
      <c r="P13" s="82"/>
      <c r="Q13" s="76"/>
      <c r="R13" s="1"/>
      <c r="S13" s="18"/>
      <c r="T13" s="41" t="s">
        <v>72</v>
      </c>
      <c r="U13" s="51">
        <f>IF(H7=AD6,AD7,0)</f>
        <v>0</v>
      </c>
      <c r="V13" s="52">
        <f>IF(H7=AD6,AD8,0)</f>
        <v>0</v>
      </c>
      <c r="W13" s="56"/>
      <c r="X13" s="56"/>
      <c r="Y13" s="53" t="s">
        <v>67</v>
      </c>
      <c r="Z13" s="54"/>
      <c r="AA13" s="46"/>
      <c r="AB13" s="46"/>
      <c r="AC13" s="57"/>
      <c r="AD13" s="46"/>
      <c r="AE13" s="21"/>
      <c r="AH13" s="8"/>
      <c r="AI13" s="8"/>
    </row>
    <row r="14" spans="1:183" ht="12.75" customHeight="1" x14ac:dyDescent="0.2">
      <c r="A14" s="82"/>
      <c r="B14" s="78"/>
      <c r="C14" s="85" t="s">
        <v>91</v>
      </c>
      <c r="D14" s="74"/>
      <c r="E14" s="74"/>
      <c r="F14" s="74"/>
      <c r="G14" s="83"/>
      <c r="H14" s="83"/>
      <c r="I14" s="82"/>
      <c r="J14" s="82"/>
      <c r="K14" s="78"/>
      <c r="L14" s="84"/>
      <c r="M14" s="84"/>
      <c r="N14" s="84"/>
      <c r="O14" s="84"/>
      <c r="P14" s="82"/>
      <c r="Q14" s="76"/>
      <c r="R14" s="1"/>
      <c r="S14" s="18"/>
      <c r="T14" s="44"/>
      <c r="U14" s="44"/>
      <c r="V14" s="44"/>
      <c r="W14" s="56"/>
      <c r="X14" s="56"/>
      <c r="Y14" s="65" t="s">
        <v>84</v>
      </c>
      <c r="AC14" s="57"/>
      <c r="AD14" s="46"/>
      <c r="AE14" s="21"/>
      <c r="AH14" s="8"/>
      <c r="AI14" s="8"/>
    </row>
    <row r="15" spans="1:183" ht="12.75" customHeight="1" x14ac:dyDescent="0.2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4"/>
      <c r="N15" s="84"/>
      <c r="O15" s="84"/>
      <c r="P15" s="84"/>
      <c r="Q15" s="76"/>
      <c r="R15" s="1"/>
      <c r="S15" s="18"/>
      <c r="T15" s="44"/>
      <c r="U15" s="44"/>
      <c r="V15" s="44"/>
      <c r="W15" s="56"/>
      <c r="X15" s="56"/>
      <c r="Y15" s="127" t="s">
        <v>85</v>
      </c>
      <c r="AC15" s="57"/>
      <c r="AD15" s="46"/>
      <c r="AE15" s="21"/>
      <c r="AF15" s="8"/>
      <c r="AG15" s="8"/>
      <c r="AH15" s="8"/>
      <c r="AI15" s="8"/>
    </row>
    <row r="16" spans="1:183" ht="12.75" customHeight="1" x14ac:dyDescent="0.2">
      <c r="A16" s="82"/>
      <c r="B16" s="86" t="s">
        <v>26</v>
      </c>
      <c r="C16" s="82"/>
      <c r="D16" s="86"/>
      <c r="E16" s="84"/>
      <c r="F16" s="87" t="s">
        <v>20</v>
      </c>
      <c r="G16" s="270">
        <f>IF(J16 = "Choose Antena","Choose Antena",IF(J16 = "No limit associed","No limit associed",IF(J16 = "Not defined for moment","Not defined for moment",20*LOG(J16))))</f>
        <v>49.004982166387222</v>
      </c>
      <c r="H16" s="270"/>
      <c r="I16" s="88" t="s">
        <v>21</v>
      </c>
      <c r="J16" s="271">
        <f>IF(H6="RTS Printed or Wire Antenna",100,IF(H6="RTS Pairing Main Supply Antenna",250,IF(H6="RTS Printed or Wire Antenna (Korea &amp; Japan no autonomous)",71,IF(H6="RTS Pairing Main Supply Antenna (Korea &amp; Japan no autonomous)",178,IF(H6="RTS Printed or Wire Antenna (Korea &amp; Japan autonomous)",112,IF(H6="RTS Pairing Main Supply Antenna (Korea &amp; Japan autonomous)",282,IF(H6="RTX Master Printed or Wire Antenna",100,IF(H6="RTX Master Pairing Main Supply Antenna","Not defined for moment",IF(H6="RTX Slave Printed or Wire Antenna",200,IF(H6="RTX Slave Pairing Main Supply Antenna",500,IF(H6="ZIGBEE Actuators Printed or Wire Antenna",250,IF(H6="ZIGBEE Actuators Pairing Main Supply Antenna",500,IF(H6="BLE Actuators &amp; Controls Printed or Wire Antenna",1300,IF(H6="BLE Actuators &amp; Controls Pairing Main Supply Antenna",2340,IF(H6="ZIGBEE Autonomous Actuators Printed or Wire Antenna",500,IF(H6="ZIGBEE Autonomous Actuators Antenna Coupled to DC Power Wire",800,IF(H6="ZIGBEE Controls for Home Printed or Wire Antenna",250,IF(H6="ZIGBEE Controls for Home Pairing Main Supply Antenna",500,IF(H6="ZIGBEE Controls for Local Printed or Wire Antenna",800,IF(H6="ZIGBEE Controls for Local Pairing Main Supply Antenna",1260,IF(H6="Product without limit associated","No limit associed","Choose Antena")))))))))))))))))))))</f>
        <v>282</v>
      </c>
      <c r="K16" s="271"/>
      <c r="L16" s="273" t="s">
        <v>31</v>
      </c>
      <c r="M16" s="273"/>
      <c r="N16" s="274">
        <f>IF(J16 = "Choose Antena","Choose Antena)",IF(J16 = "No limit associed","No limit associed)",IF(J16 = "Not defined for moment","Not defined for moment)",G16-75.01+$G$11-20*LOG(H7)+20*LOG($G$12)+$G$10)))</f>
        <v>-45.230771695195997</v>
      </c>
      <c r="O16" s="274"/>
      <c r="P16" s="274"/>
      <c r="Q16" s="274"/>
      <c r="R16" s="1"/>
      <c r="S16" s="18"/>
      <c r="T16" s="44"/>
      <c r="U16" s="44"/>
      <c r="V16" s="44"/>
      <c r="W16" s="56"/>
      <c r="X16" s="56"/>
      <c r="Y16" s="127" t="s">
        <v>86</v>
      </c>
      <c r="AC16" s="57"/>
      <c r="AD16" s="45"/>
      <c r="AE16" s="21"/>
      <c r="AF16" s="8"/>
      <c r="AG16" s="8"/>
      <c r="AH16" s="8"/>
      <c r="AI16" s="8"/>
    </row>
    <row r="17" spans="1:31" ht="12.75" customHeight="1" x14ac:dyDescent="0.2">
      <c r="A17" s="82"/>
      <c r="B17" s="82"/>
      <c r="C17" s="84"/>
      <c r="D17" s="84"/>
      <c r="E17" s="84"/>
      <c r="F17" s="84"/>
      <c r="G17" s="89"/>
      <c r="H17" s="89"/>
      <c r="I17" s="89"/>
      <c r="J17" s="272"/>
      <c r="K17" s="272"/>
      <c r="L17" s="89"/>
      <c r="M17" s="90"/>
      <c r="N17" s="90"/>
      <c r="O17" s="90"/>
      <c r="P17" s="82"/>
      <c r="Q17" s="76"/>
      <c r="R17" s="1"/>
      <c r="S17" s="18"/>
      <c r="T17" s="44"/>
      <c r="U17" s="44"/>
      <c r="V17" s="56"/>
      <c r="W17" s="56"/>
      <c r="X17" s="56"/>
      <c r="Y17" s="127" t="s">
        <v>87</v>
      </c>
      <c r="AC17" s="57"/>
      <c r="AD17" s="45"/>
      <c r="AE17" s="21"/>
    </row>
    <row r="18" spans="1:31" ht="12.75" customHeight="1" thickBot="1" x14ac:dyDescent="0.25">
      <c r="A18" s="82"/>
      <c r="B18" s="91" t="s">
        <v>40</v>
      </c>
      <c r="C18" s="82"/>
      <c r="D18" s="92"/>
      <c r="E18" s="92"/>
      <c r="F18" s="92"/>
      <c r="G18" s="92"/>
      <c r="H18" s="92"/>
      <c r="I18" s="93"/>
      <c r="J18" s="93"/>
      <c r="K18" s="93"/>
      <c r="L18" s="93"/>
      <c r="M18" s="93"/>
      <c r="N18" s="93"/>
      <c r="O18" s="93"/>
      <c r="P18" s="94"/>
      <c r="Q18" s="76"/>
      <c r="R18" s="1"/>
      <c r="S18" s="18"/>
      <c r="T18" s="44"/>
      <c r="U18" s="44"/>
      <c r="V18" s="44"/>
      <c r="W18" s="59"/>
      <c r="X18" s="44"/>
      <c r="Y18" s="65" t="s">
        <v>68</v>
      </c>
      <c r="Z18" s="44"/>
      <c r="AA18" s="46"/>
      <c r="AB18" s="46"/>
      <c r="AC18" s="57"/>
      <c r="AD18" s="45"/>
      <c r="AE18" s="21"/>
    </row>
    <row r="19" spans="1:31" ht="18" customHeight="1" thickBot="1" x14ac:dyDescent="0.25">
      <c r="A19" s="82"/>
      <c r="B19" s="95"/>
      <c r="C19" s="95"/>
      <c r="D19" s="96"/>
      <c r="E19" s="275" t="s">
        <v>43</v>
      </c>
      <c r="F19" s="276"/>
      <c r="G19" s="276"/>
      <c r="H19" s="277"/>
      <c r="I19" s="259" t="s">
        <v>50</v>
      </c>
      <c r="J19" s="257"/>
      <c r="K19" s="257"/>
      <c r="L19" s="257"/>
      <c r="M19" s="257"/>
      <c r="N19" s="257"/>
      <c r="O19" s="257"/>
      <c r="P19" s="261"/>
      <c r="Q19" s="76"/>
      <c r="R19" s="1"/>
      <c r="S19" s="18"/>
      <c r="T19" s="44"/>
      <c r="U19" s="44"/>
      <c r="V19" s="44"/>
      <c r="W19" s="59"/>
      <c r="X19" s="44"/>
      <c r="Y19" s="65" t="s">
        <v>69</v>
      </c>
      <c r="Z19" s="44"/>
      <c r="AA19" s="46"/>
      <c r="AB19" s="46"/>
      <c r="AC19" s="57"/>
      <c r="AD19" s="45"/>
      <c r="AE19" s="21"/>
    </row>
    <row r="20" spans="1:31" ht="17.25" customHeight="1" thickBot="1" x14ac:dyDescent="0.25">
      <c r="A20" s="82"/>
      <c r="B20" s="97"/>
      <c r="C20" s="95"/>
      <c r="D20" s="96"/>
      <c r="E20" s="257" t="s">
        <v>49</v>
      </c>
      <c r="F20" s="258"/>
      <c r="G20" s="259" t="s">
        <v>48</v>
      </c>
      <c r="H20" s="260"/>
      <c r="I20" s="259" t="s">
        <v>49</v>
      </c>
      <c r="J20" s="257"/>
      <c r="K20" s="257"/>
      <c r="L20" s="261"/>
      <c r="M20" s="262" t="s">
        <v>48</v>
      </c>
      <c r="N20" s="262"/>
      <c r="O20" s="262"/>
      <c r="P20" s="263"/>
      <c r="Q20" s="76"/>
      <c r="R20" s="1"/>
      <c r="S20" s="18"/>
      <c r="T20" s="44"/>
      <c r="U20" s="44"/>
      <c r="V20" s="44"/>
      <c r="W20" s="59"/>
      <c r="X20" s="44"/>
      <c r="Y20" s="53" t="s">
        <v>70</v>
      </c>
      <c r="Z20" s="44"/>
      <c r="AA20" s="44"/>
      <c r="AB20" s="44"/>
      <c r="AC20" s="58"/>
      <c r="AD20" s="45"/>
      <c r="AE20" s="21"/>
    </row>
    <row r="21" spans="1:31" ht="24" customHeight="1" thickBot="1" x14ac:dyDescent="0.25">
      <c r="A21" s="82"/>
      <c r="B21" s="259" t="s">
        <v>0</v>
      </c>
      <c r="C21" s="257"/>
      <c r="D21" s="261"/>
      <c r="E21" s="98" t="s">
        <v>29</v>
      </c>
      <c r="F21" s="99" t="s">
        <v>30</v>
      </c>
      <c r="G21" s="98" t="s">
        <v>29</v>
      </c>
      <c r="H21" s="99" t="s">
        <v>30</v>
      </c>
      <c r="I21" s="264" t="s">
        <v>46</v>
      </c>
      <c r="J21" s="259"/>
      <c r="K21" s="265" t="s">
        <v>47</v>
      </c>
      <c r="L21" s="263"/>
      <c r="M21" s="266" t="s">
        <v>46</v>
      </c>
      <c r="N21" s="267"/>
      <c r="O21" s="265" t="s">
        <v>47</v>
      </c>
      <c r="P21" s="263"/>
      <c r="Q21" s="76"/>
      <c r="R21" s="1"/>
      <c r="S21" s="18"/>
      <c r="T21" s="1"/>
      <c r="U21" s="1"/>
      <c r="V21" s="1"/>
      <c r="W21" s="40"/>
      <c r="X21" s="44"/>
      <c r="Y21" s="53" t="s">
        <v>71</v>
      </c>
      <c r="Z21" s="44"/>
      <c r="AA21" s="44"/>
      <c r="AB21" s="44"/>
      <c r="AC21" s="58"/>
      <c r="AD21" s="10"/>
      <c r="AE21" s="21"/>
    </row>
    <row r="22" spans="1:31" ht="12" customHeight="1" x14ac:dyDescent="0.2">
      <c r="B22" s="252">
        <v>0</v>
      </c>
      <c r="C22" s="253"/>
      <c r="D22" s="254"/>
      <c r="E22" s="111"/>
      <c r="F22" s="121"/>
      <c r="G22" s="112"/>
      <c r="H22" s="115"/>
      <c r="I22" s="255">
        <f>E22-$G$10-20*LOG($G$12)+20*LOG(H7)-$G$11+75.01</f>
        <v>94.23575386158322</v>
      </c>
      <c r="J22" s="256"/>
      <c r="K22" s="244">
        <f>10^(I22/20)</f>
        <v>51497.683416534397</v>
      </c>
      <c r="L22" s="245"/>
      <c r="M22" s="255">
        <f>G22-$G$10-20*LOG($G$12)+20*LOG(H7)-$G$11+75.01</f>
        <v>94.23575386158322</v>
      </c>
      <c r="N22" s="256"/>
      <c r="O22" s="244">
        <f t="shared" ref="O22:O33" si="0">10^(M22/20)</f>
        <v>51497.683416534397</v>
      </c>
      <c r="P22" s="245"/>
      <c r="Q22" s="1"/>
      <c r="R22" s="1"/>
      <c r="S22" s="18"/>
      <c r="T22" s="14">
        <f>$G$16</f>
        <v>49.004982166387222</v>
      </c>
      <c r="U22" s="1"/>
      <c r="V22" s="1"/>
      <c r="W22" s="1"/>
      <c r="X22" s="44"/>
      <c r="Y22" s="65" t="s">
        <v>80</v>
      </c>
      <c r="Z22" s="1"/>
      <c r="AA22" s="1"/>
      <c r="AB22" s="1"/>
      <c r="AC22" s="20"/>
      <c r="AD22" s="10"/>
      <c r="AE22" s="21"/>
    </row>
    <row r="23" spans="1:31" ht="12" customHeight="1" x14ac:dyDescent="0.2">
      <c r="B23" s="246">
        <v>30</v>
      </c>
      <c r="C23" s="247"/>
      <c r="D23" s="248"/>
      <c r="E23" s="111"/>
      <c r="F23" s="121"/>
      <c r="G23" s="112"/>
      <c r="H23" s="116"/>
      <c r="I23" s="249">
        <f>E23-$G$10-20*LOG($G$12)+20*LOG(H7)-$G$11+75.01</f>
        <v>94.23575386158322</v>
      </c>
      <c r="J23" s="250"/>
      <c r="K23" s="228">
        <f t="shared" ref="K23:K33" si="1">10^(I23/20)</f>
        <v>51497.683416534397</v>
      </c>
      <c r="L23" s="229"/>
      <c r="M23" s="249">
        <f>G23-$G$10-20*LOG($G$12)+20*LOG(H7)-$G$11+75.01</f>
        <v>94.23575386158322</v>
      </c>
      <c r="N23" s="250"/>
      <c r="O23" s="228">
        <f t="shared" si="0"/>
        <v>51497.683416534397</v>
      </c>
      <c r="P23" s="229"/>
      <c r="Q23" s="1"/>
      <c r="R23" s="1"/>
      <c r="S23" s="18"/>
      <c r="T23" s="14">
        <f t="shared" ref="T23:T33" si="2">$G$16</f>
        <v>49.004982166387222</v>
      </c>
      <c r="U23" s="1"/>
      <c r="V23" s="1"/>
      <c r="W23" s="1"/>
      <c r="X23" s="44"/>
      <c r="Y23" s="65" t="s">
        <v>78</v>
      </c>
      <c r="Z23" s="44"/>
      <c r="AA23" s="44"/>
      <c r="AB23" s="44"/>
      <c r="AC23" s="58"/>
      <c r="AD23" s="10"/>
      <c r="AE23" s="21"/>
    </row>
    <row r="24" spans="1:31" ht="12" customHeight="1" x14ac:dyDescent="0.2">
      <c r="B24" s="246">
        <v>60</v>
      </c>
      <c r="C24" s="247"/>
      <c r="D24" s="248"/>
      <c r="E24" s="111"/>
      <c r="F24" s="121"/>
      <c r="G24" s="112"/>
      <c r="H24" s="116"/>
      <c r="I24" s="249">
        <f>E24-$G$10-20*LOG($G$12)+20*LOG(H7)-$G$11+75.01</f>
        <v>94.23575386158322</v>
      </c>
      <c r="J24" s="250"/>
      <c r="K24" s="228">
        <f t="shared" si="1"/>
        <v>51497.683416534397</v>
      </c>
      <c r="L24" s="229"/>
      <c r="M24" s="249">
        <f>G24-$G$10-20*LOG($G$12)+20*LOG(H7)-$G$11+75.01</f>
        <v>94.23575386158322</v>
      </c>
      <c r="N24" s="250"/>
      <c r="O24" s="228">
        <f t="shared" ref="O24" si="3">10^(M24/20)</f>
        <v>51497.683416534397</v>
      </c>
      <c r="P24" s="229"/>
      <c r="Q24" s="1"/>
      <c r="R24" s="1"/>
      <c r="S24" s="18"/>
      <c r="T24" s="14">
        <f t="shared" si="2"/>
        <v>49.004982166387222</v>
      </c>
      <c r="U24" s="1"/>
      <c r="V24" s="1"/>
      <c r="W24" s="1"/>
      <c r="X24" s="44"/>
      <c r="Y24" s="65" t="s">
        <v>81</v>
      </c>
      <c r="AC24" s="20"/>
      <c r="AD24" s="10"/>
      <c r="AE24" s="21"/>
    </row>
    <row r="25" spans="1:31" ht="12" customHeight="1" x14ac:dyDescent="0.2">
      <c r="B25" s="246">
        <v>90</v>
      </c>
      <c r="C25" s="247"/>
      <c r="D25" s="248"/>
      <c r="E25" s="111"/>
      <c r="F25" s="121"/>
      <c r="G25" s="112"/>
      <c r="H25" s="116"/>
      <c r="I25" s="249">
        <f>E25-$G$10-20*LOG($G$12)+20*LOG(H7)-$G$11+75.01</f>
        <v>94.23575386158322</v>
      </c>
      <c r="J25" s="250"/>
      <c r="K25" s="228">
        <f t="shared" si="1"/>
        <v>51497.683416534397</v>
      </c>
      <c r="L25" s="229"/>
      <c r="M25" s="249">
        <f>G25-$G$10-20*LOG($G$12)+20*LOG(H7)-$G$11+75.01</f>
        <v>94.23575386158322</v>
      </c>
      <c r="N25" s="250"/>
      <c r="O25" s="228">
        <f t="shared" si="0"/>
        <v>51497.683416534397</v>
      </c>
      <c r="P25" s="229"/>
      <c r="Q25" s="1"/>
      <c r="R25" s="1"/>
      <c r="S25" s="18"/>
      <c r="T25" s="14">
        <f t="shared" si="2"/>
        <v>49.004982166387222</v>
      </c>
      <c r="U25" s="251"/>
      <c r="V25" s="251"/>
      <c r="W25" s="1"/>
      <c r="X25" s="44"/>
      <c r="Y25" s="65" t="s">
        <v>82</v>
      </c>
      <c r="Z25" s="1"/>
      <c r="AA25" s="1"/>
      <c r="AB25" s="1"/>
      <c r="AC25" s="20"/>
      <c r="AD25" s="10"/>
      <c r="AE25" s="21"/>
    </row>
    <row r="26" spans="1:31" ht="12" customHeight="1" x14ac:dyDescent="0.2">
      <c r="B26" s="246">
        <v>120</v>
      </c>
      <c r="C26" s="247"/>
      <c r="D26" s="248"/>
      <c r="E26" s="111"/>
      <c r="F26" s="121"/>
      <c r="G26" s="112"/>
      <c r="H26" s="116"/>
      <c r="I26" s="249">
        <f>E26-$G$10-20*LOG($G$12)+20*LOG(H7)-$G$11+75.01</f>
        <v>94.23575386158322</v>
      </c>
      <c r="J26" s="250"/>
      <c r="K26" s="228">
        <f t="shared" si="1"/>
        <v>51497.683416534397</v>
      </c>
      <c r="L26" s="229"/>
      <c r="M26" s="249">
        <f>G26-$G$10-20*LOG($G$12)+20*LOG(H7)-$G$11+75.01</f>
        <v>94.23575386158322</v>
      </c>
      <c r="N26" s="250"/>
      <c r="O26" s="228">
        <f t="shared" si="0"/>
        <v>51497.683416534397</v>
      </c>
      <c r="P26" s="229"/>
      <c r="Q26" s="1"/>
      <c r="R26" s="1"/>
      <c r="S26" s="18"/>
      <c r="T26" s="14">
        <f t="shared" si="2"/>
        <v>49.004982166387222</v>
      </c>
      <c r="U26" s="1"/>
      <c r="V26" s="1"/>
      <c r="W26" s="1"/>
      <c r="X26" s="44"/>
      <c r="Y26" s="65" t="s">
        <v>83</v>
      </c>
      <c r="AC26" s="20"/>
      <c r="AD26" s="10"/>
      <c r="AE26" s="21"/>
    </row>
    <row r="27" spans="1:31" ht="12" customHeight="1" x14ac:dyDescent="0.2">
      <c r="B27" s="246">
        <v>150</v>
      </c>
      <c r="C27" s="247"/>
      <c r="D27" s="248"/>
      <c r="E27" s="111"/>
      <c r="F27" s="121"/>
      <c r="G27" s="112"/>
      <c r="H27" s="116"/>
      <c r="I27" s="249">
        <f>E27-$G$10-20*LOG($G$12)+20*LOG(H7)-$G$11+75.01</f>
        <v>94.23575386158322</v>
      </c>
      <c r="J27" s="250"/>
      <c r="K27" s="228">
        <f t="shared" si="1"/>
        <v>51497.683416534397</v>
      </c>
      <c r="L27" s="229"/>
      <c r="M27" s="249">
        <f>G27-$G$10-20*LOG($G$12)+20*LOG(H7)-$G$11+75.01</f>
        <v>94.23575386158322</v>
      </c>
      <c r="N27" s="250"/>
      <c r="O27" s="228">
        <f t="shared" si="0"/>
        <v>51497.683416534397</v>
      </c>
      <c r="P27" s="229"/>
      <c r="Q27" s="1"/>
      <c r="R27" s="1"/>
      <c r="S27" s="18"/>
      <c r="T27" s="14">
        <f t="shared" si="2"/>
        <v>49.004982166387222</v>
      </c>
      <c r="U27" s="1"/>
      <c r="V27" s="1"/>
      <c r="W27" s="1"/>
      <c r="X27" s="44"/>
      <c r="Y27" s="65" t="s">
        <v>79</v>
      </c>
      <c r="AC27" s="20"/>
      <c r="AD27" s="10"/>
      <c r="AE27" s="21"/>
    </row>
    <row r="28" spans="1:31" ht="12" customHeight="1" x14ac:dyDescent="0.2">
      <c r="B28" s="246">
        <v>180</v>
      </c>
      <c r="C28" s="247"/>
      <c r="D28" s="248"/>
      <c r="E28" s="111"/>
      <c r="F28" s="121"/>
      <c r="G28" s="112"/>
      <c r="H28" s="116"/>
      <c r="I28" s="249">
        <f>E28-$G$10-20*LOG($G$12)+20*LOG(H7)-$G$11+75.01</f>
        <v>94.23575386158322</v>
      </c>
      <c r="J28" s="250"/>
      <c r="K28" s="228">
        <f t="shared" si="1"/>
        <v>51497.683416534397</v>
      </c>
      <c r="L28" s="229"/>
      <c r="M28" s="249">
        <f>G28-$G$10-20*LOG($G$12)+20*LOG(H7)-$G$11+75.01</f>
        <v>94.23575386158322</v>
      </c>
      <c r="N28" s="250"/>
      <c r="O28" s="228">
        <f t="shared" si="0"/>
        <v>51497.683416534397</v>
      </c>
      <c r="P28" s="229"/>
      <c r="Q28" s="1"/>
      <c r="R28" s="1"/>
      <c r="S28" s="18"/>
      <c r="T28" s="14">
        <f t="shared" si="2"/>
        <v>49.004982166387222</v>
      </c>
      <c r="U28" s="1"/>
      <c r="V28" s="1"/>
      <c r="W28" s="1"/>
      <c r="X28" s="44"/>
      <c r="Y28" s="65" t="s">
        <v>74</v>
      </c>
      <c r="Z28" s="44"/>
      <c r="AA28" s="44"/>
      <c r="AB28" s="44"/>
      <c r="AC28" s="58"/>
      <c r="AD28" s="10"/>
      <c r="AE28" s="21"/>
    </row>
    <row r="29" spans="1:31" ht="12" customHeight="1" x14ac:dyDescent="0.2">
      <c r="B29" s="246">
        <v>210</v>
      </c>
      <c r="C29" s="247"/>
      <c r="D29" s="248"/>
      <c r="E29" s="111"/>
      <c r="F29" s="121"/>
      <c r="G29" s="112"/>
      <c r="H29" s="116"/>
      <c r="I29" s="249">
        <f>E29-$G$10-20*LOG($G$12)+20*LOG(H7)-$G$11+75.01</f>
        <v>94.23575386158322</v>
      </c>
      <c r="J29" s="250"/>
      <c r="K29" s="228">
        <f t="shared" si="1"/>
        <v>51497.683416534397</v>
      </c>
      <c r="L29" s="229"/>
      <c r="M29" s="249">
        <f>G29-$G$10-20*LOG($G$12)+20*LOG(H7)-$G$11+75.01</f>
        <v>94.23575386158322</v>
      </c>
      <c r="N29" s="250"/>
      <c r="O29" s="228">
        <f t="shared" si="0"/>
        <v>51497.683416534397</v>
      </c>
      <c r="P29" s="229"/>
      <c r="Q29" s="1"/>
      <c r="R29" s="1"/>
      <c r="S29" s="18"/>
      <c r="T29" s="14">
        <f t="shared" si="2"/>
        <v>49.004982166387222</v>
      </c>
      <c r="U29" s="1"/>
      <c r="V29" s="1"/>
      <c r="W29" s="1"/>
      <c r="X29" s="1"/>
      <c r="Y29" s="65" t="s">
        <v>75</v>
      </c>
      <c r="Z29" s="1"/>
      <c r="AA29" s="1"/>
      <c r="AB29" s="1"/>
      <c r="AC29" s="20"/>
      <c r="AD29" s="10"/>
      <c r="AE29" s="21"/>
    </row>
    <row r="30" spans="1:31" ht="12" customHeight="1" x14ac:dyDescent="0.2">
      <c r="B30" s="246">
        <v>240</v>
      </c>
      <c r="C30" s="247"/>
      <c r="D30" s="248"/>
      <c r="E30" s="111"/>
      <c r="F30" s="121"/>
      <c r="G30" s="112"/>
      <c r="H30" s="116"/>
      <c r="I30" s="249">
        <f>E30-$G$10-20*LOG($G$12)+20*LOG(H7)-$G$11+75.01</f>
        <v>94.23575386158322</v>
      </c>
      <c r="J30" s="250"/>
      <c r="K30" s="228">
        <f t="shared" si="1"/>
        <v>51497.683416534397</v>
      </c>
      <c r="L30" s="229"/>
      <c r="M30" s="249">
        <f>G30-$G$10-20*LOG($G$12)+20*LOG(H7)-$G$11+75.01</f>
        <v>94.23575386158322</v>
      </c>
      <c r="N30" s="250"/>
      <c r="O30" s="228">
        <f t="shared" si="0"/>
        <v>51497.683416534397</v>
      </c>
      <c r="P30" s="229"/>
      <c r="Q30" s="1"/>
      <c r="R30" s="1"/>
      <c r="S30" s="18"/>
      <c r="T30" s="14">
        <f t="shared" si="2"/>
        <v>49.004982166387222</v>
      </c>
      <c r="U30" s="1"/>
      <c r="V30" s="1"/>
      <c r="W30" s="1"/>
      <c r="X30" s="1"/>
      <c r="Y30" s="65" t="s">
        <v>76</v>
      </c>
      <c r="Z30" s="1"/>
      <c r="AA30" s="1"/>
      <c r="AB30" s="1"/>
      <c r="AC30" s="20"/>
      <c r="AD30" s="10"/>
      <c r="AE30" s="21"/>
    </row>
    <row r="31" spans="1:31" ht="12" customHeight="1" x14ac:dyDescent="0.2">
      <c r="B31" s="246">
        <v>270</v>
      </c>
      <c r="C31" s="247"/>
      <c r="D31" s="248"/>
      <c r="E31" s="111"/>
      <c r="F31" s="121"/>
      <c r="G31" s="112"/>
      <c r="H31" s="116"/>
      <c r="I31" s="249">
        <f>E31-$G$10-20*LOG($G$12)+20*LOG(H7)-$G$11+75.01</f>
        <v>94.23575386158322</v>
      </c>
      <c r="J31" s="250"/>
      <c r="K31" s="228">
        <f t="shared" si="1"/>
        <v>51497.683416534397</v>
      </c>
      <c r="L31" s="229"/>
      <c r="M31" s="249">
        <f>G31-$G$10-20*LOG($G$12)+20*LOG(H7)-$G$11+75.01</f>
        <v>94.23575386158322</v>
      </c>
      <c r="N31" s="250"/>
      <c r="O31" s="228">
        <f t="shared" si="0"/>
        <v>51497.683416534397</v>
      </c>
      <c r="P31" s="229"/>
      <c r="Q31" s="1"/>
      <c r="R31" s="1"/>
      <c r="S31" s="18"/>
      <c r="T31" s="14">
        <f t="shared" si="2"/>
        <v>49.004982166387222</v>
      </c>
      <c r="U31" s="9"/>
      <c r="V31" s="1"/>
      <c r="W31" s="1"/>
      <c r="X31" s="1"/>
      <c r="Y31" s="65" t="s">
        <v>77</v>
      </c>
      <c r="Z31" s="1"/>
      <c r="AA31" s="1"/>
      <c r="AB31" s="1"/>
      <c r="AC31" s="20"/>
      <c r="AD31" s="10"/>
      <c r="AE31" s="21"/>
    </row>
    <row r="32" spans="1:31" ht="12" customHeight="1" x14ac:dyDescent="0.2">
      <c r="B32" s="246">
        <v>300</v>
      </c>
      <c r="C32" s="247"/>
      <c r="D32" s="248"/>
      <c r="E32" s="111"/>
      <c r="F32" s="121"/>
      <c r="G32" s="112"/>
      <c r="H32" s="116"/>
      <c r="I32" s="249">
        <f>E32-$G$10-20*LOG($G$12)+20*LOG(H7)-$G$11+75.01</f>
        <v>94.23575386158322</v>
      </c>
      <c r="J32" s="250"/>
      <c r="K32" s="228">
        <f t="shared" si="1"/>
        <v>51497.683416534397</v>
      </c>
      <c r="L32" s="229"/>
      <c r="M32" s="249">
        <f>G32-$G$10-20*LOG($G$12)+20*LOG(H7)-$G$11+75.01</f>
        <v>94.23575386158322</v>
      </c>
      <c r="N32" s="250"/>
      <c r="O32" s="228">
        <f t="shared" si="0"/>
        <v>51497.683416534397</v>
      </c>
      <c r="P32" s="229"/>
      <c r="Q32" s="1"/>
      <c r="R32" s="1"/>
      <c r="S32" s="18"/>
      <c r="T32" s="14">
        <f t="shared" si="2"/>
        <v>49.004982166387222</v>
      </c>
      <c r="U32" s="9"/>
      <c r="V32" s="1"/>
      <c r="W32" s="1"/>
      <c r="X32" s="1"/>
      <c r="Y32" s="60" t="s">
        <v>59</v>
      </c>
      <c r="Z32" s="25"/>
      <c r="AA32" s="25"/>
      <c r="AB32" s="25"/>
      <c r="AC32" s="64"/>
      <c r="AD32" s="6"/>
      <c r="AE32" s="21"/>
    </row>
    <row r="33" spans="2:35" ht="12" customHeight="1" thickBot="1" x14ac:dyDescent="0.25">
      <c r="B33" s="231">
        <v>330</v>
      </c>
      <c r="C33" s="232"/>
      <c r="D33" s="233"/>
      <c r="E33" s="111"/>
      <c r="F33" s="121"/>
      <c r="G33" s="112"/>
      <c r="H33" s="117"/>
      <c r="I33" s="234">
        <f>E33-$G$10-20*LOG($G$12)+20*LOG(H7)-$G$11+75.01</f>
        <v>94.23575386158322</v>
      </c>
      <c r="J33" s="235"/>
      <c r="K33" s="236">
        <f t="shared" si="1"/>
        <v>51497.683416534397</v>
      </c>
      <c r="L33" s="237"/>
      <c r="M33" s="238">
        <f>G33-$G$10-20*LOG($G$12)+20*LOG(H7)-$G$11+75.01</f>
        <v>94.23575386158322</v>
      </c>
      <c r="N33" s="239"/>
      <c r="O33" s="236">
        <f t="shared" si="0"/>
        <v>51497.683416534397</v>
      </c>
      <c r="P33" s="237"/>
      <c r="Q33" s="1"/>
      <c r="R33" s="1"/>
      <c r="S33" s="18"/>
      <c r="T33" s="14">
        <f t="shared" si="2"/>
        <v>49.004982166387222</v>
      </c>
      <c r="U33" s="9"/>
      <c r="V33" s="1"/>
      <c r="W33" s="1"/>
      <c r="X33" s="1"/>
      <c r="Y33" s="1"/>
      <c r="Z33" s="10"/>
      <c r="AA33" s="6"/>
      <c r="AB33" s="6"/>
      <c r="AC33" s="6"/>
      <c r="AD33" s="6"/>
      <c r="AE33" s="21"/>
      <c r="AF33" s="8"/>
      <c r="AG33" s="8"/>
      <c r="AH33" s="8"/>
      <c r="AI33" s="8"/>
    </row>
    <row r="34" spans="2:35" ht="35.25" customHeight="1" x14ac:dyDescent="0.2">
      <c r="B34" s="240" t="s">
        <v>39</v>
      </c>
      <c r="C34" s="241"/>
      <c r="D34" s="241"/>
      <c r="E34" s="32" t="e">
        <f>AVERAGE($E$22:$E$33)</f>
        <v>#DIV/0!</v>
      </c>
      <c r="F34" s="124" t="e">
        <f>AVERAGE($F$22:$F$33)</f>
        <v>#DIV/0!</v>
      </c>
      <c r="G34" s="37" t="e">
        <f>AVERAGE($G$22:$G$33)</f>
        <v>#DIV/0!</v>
      </c>
      <c r="H34" s="118" t="e">
        <f>AVERAGE($H$22:$H$33)</f>
        <v>#DIV/0!</v>
      </c>
      <c r="I34" s="242" t="e">
        <f>E34-$G$10-20*LOG($G$12)+20*LOG(H7)-$G$11+75.01</f>
        <v>#DIV/0!</v>
      </c>
      <c r="J34" s="243"/>
      <c r="K34" s="244" t="e">
        <f>10^(I34/20)</f>
        <v>#DIV/0!</v>
      </c>
      <c r="L34" s="245"/>
      <c r="M34" s="242" t="e">
        <f>G34-$G$10-20*LOG($G$12)+20*LOG(H7)-$G$11+75.01</f>
        <v>#DIV/0!</v>
      </c>
      <c r="N34" s="243"/>
      <c r="O34" s="244" t="e">
        <f>10^(M34/20)</f>
        <v>#DIV/0!</v>
      </c>
      <c r="P34" s="245"/>
      <c r="Q34" s="1"/>
      <c r="R34" s="1"/>
      <c r="S34" s="22"/>
      <c r="T34" s="23"/>
      <c r="U34" s="24"/>
      <c r="V34" s="25"/>
      <c r="W34" s="25"/>
      <c r="X34" s="25"/>
      <c r="Y34" s="25"/>
      <c r="Z34" s="26"/>
      <c r="AA34" s="27"/>
      <c r="AB34" s="27"/>
      <c r="AC34" s="27"/>
      <c r="AD34" s="27"/>
      <c r="AE34" s="28"/>
      <c r="AF34" s="8"/>
      <c r="AG34" s="8"/>
      <c r="AH34" s="8"/>
      <c r="AI34" s="8"/>
    </row>
    <row r="35" spans="2:35" ht="25.5" customHeight="1" x14ac:dyDescent="0.2">
      <c r="B35" s="224" t="s">
        <v>23</v>
      </c>
      <c r="C35" s="225"/>
      <c r="D35" s="225"/>
      <c r="E35" s="34">
        <f>MAX($E$22:$E$33)</f>
        <v>0</v>
      </c>
      <c r="F35" s="125">
        <f>MAX($F$22:$F$33)</f>
        <v>0</v>
      </c>
      <c r="G35" s="33">
        <f>MAX($G$22:$G$33)</f>
        <v>0</v>
      </c>
      <c r="H35" s="119">
        <f>MAX($H$22:$H$33)</f>
        <v>0</v>
      </c>
      <c r="I35" s="226">
        <f>E35-$G$10-20*LOG($G$12)+20*LOG(H7)-$G$11+75.01</f>
        <v>94.23575386158322</v>
      </c>
      <c r="J35" s="227"/>
      <c r="K35" s="228">
        <f>10^(I35/20)</f>
        <v>51497.683416534397</v>
      </c>
      <c r="L35" s="229"/>
      <c r="M35" s="226">
        <f>G35-$G$10-20*LOG($G$12)+20*LOG(H7)-$G$11+75.01</f>
        <v>94.23575386158322</v>
      </c>
      <c r="N35" s="227"/>
      <c r="O35" s="228">
        <f>10^(M35/20)</f>
        <v>51497.683416534397</v>
      </c>
      <c r="P35" s="229"/>
      <c r="Q35" s="1"/>
      <c r="R35" s="1"/>
      <c r="S35" s="230"/>
      <c r="T35" s="230"/>
      <c r="U35" s="230"/>
      <c r="V35" s="230"/>
      <c r="W35" s="230"/>
      <c r="X35" s="230"/>
      <c r="Z35" s="11"/>
      <c r="AA35" s="7"/>
      <c r="AB35" s="7"/>
      <c r="AC35" s="7"/>
      <c r="AD35" s="7"/>
      <c r="AF35" s="8"/>
      <c r="AG35" s="8"/>
      <c r="AH35" s="8"/>
      <c r="AI35" s="8"/>
    </row>
    <row r="36" spans="2:35" ht="25.5" customHeight="1" thickBot="1" x14ac:dyDescent="0.25">
      <c r="B36" s="217" t="s">
        <v>24</v>
      </c>
      <c r="C36" s="218"/>
      <c r="D36" s="218"/>
      <c r="E36" s="36">
        <f>MIN($E$22:$E$33)</f>
        <v>0</v>
      </c>
      <c r="F36" s="126">
        <f>MIN($F$22:$F$33)</f>
        <v>0</v>
      </c>
      <c r="G36" s="35">
        <f>MIN($G$22:$G$33)</f>
        <v>0</v>
      </c>
      <c r="H36" s="120">
        <f>MIN($H$22:$H$33)</f>
        <v>0</v>
      </c>
      <c r="I36" s="219">
        <f>E36-$G$10-20*LOG($G$12)+20*LOG(H7)-$G$11+75.01</f>
        <v>94.23575386158322</v>
      </c>
      <c r="J36" s="220"/>
      <c r="K36" s="221">
        <f>10^(I36/20)</f>
        <v>51497.683416534397</v>
      </c>
      <c r="L36" s="222"/>
      <c r="M36" s="219">
        <f>G36-$G$10-20*LOG($G$12)+20*LOG(H7)-$G$11+75.01</f>
        <v>94.23575386158322</v>
      </c>
      <c r="N36" s="220"/>
      <c r="O36" s="221">
        <f>10^(M36/20)</f>
        <v>51497.683416534397</v>
      </c>
      <c r="P36" s="222"/>
      <c r="Q36" s="1"/>
      <c r="R36" s="1"/>
      <c r="S36" s="1"/>
      <c r="T36" s="223" t="s">
        <v>62</v>
      </c>
      <c r="U36" s="223"/>
      <c r="V36" s="223"/>
      <c r="W36" s="196" t="s">
        <v>61</v>
      </c>
      <c r="X36" s="196"/>
      <c r="Y36" s="196"/>
      <c r="Z36" s="196"/>
      <c r="AA36" s="196"/>
      <c r="AB36" s="196"/>
      <c r="AC36" s="196"/>
      <c r="AD36" s="196"/>
      <c r="AI36" s="8"/>
    </row>
    <row r="37" spans="2:35" ht="12.75" customHeight="1" x14ac:dyDescent="0.2">
      <c r="B37" s="13" t="s">
        <v>35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"/>
      <c r="R37" s="1"/>
      <c r="S37" s="1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</row>
    <row r="38" spans="2:35" ht="12.75" customHeight="1" x14ac:dyDescent="0.2">
      <c r="B38" s="29" t="s">
        <v>36</v>
      </c>
      <c r="C38" s="9"/>
      <c r="D38" s="9"/>
      <c r="E38" s="9"/>
      <c r="F38" s="9"/>
      <c r="G38" s="9"/>
      <c r="H38" s="9"/>
      <c r="I38" s="30"/>
      <c r="J38" s="29" t="s">
        <v>37</v>
      </c>
      <c r="K38" s="1"/>
      <c r="L38" s="9"/>
      <c r="M38" s="9"/>
      <c r="N38" s="1"/>
      <c r="O38" s="1"/>
      <c r="P38" s="1"/>
      <c r="Q38" s="1"/>
      <c r="V38" s="7"/>
      <c r="W38" s="7"/>
      <c r="X38" s="7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</row>
    <row r="39" spans="2:35" ht="12.75" customHeight="1" thickBot="1" x14ac:dyDescent="0.25">
      <c r="C39" s="9"/>
      <c r="D39" s="9"/>
      <c r="E39" s="9"/>
      <c r="F39" s="9"/>
      <c r="G39" s="9"/>
      <c r="H39" s="9"/>
      <c r="I39" s="30"/>
      <c r="J39" s="9"/>
      <c r="K39" s="1"/>
      <c r="L39" s="1"/>
      <c r="M39" s="9"/>
      <c r="N39" s="9"/>
      <c r="O39" s="1"/>
      <c r="P39" s="1"/>
      <c r="Q39" s="1"/>
      <c r="R39" s="1"/>
      <c r="V39" s="7"/>
      <c r="W39" s="7"/>
      <c r="X39" s="7"/>
      <c r="Y39" s="7"/>
      <c r="Z39" s="8"/>
      <c r="AA39" s="8"/>
      <c r="AB39" s="8"/>
      <c r="AC39" s="8"/>
      <c r="AD39" s="8"/>
      <c r="AE39" s="8"/>
      <c r="AF39" s="8"/>
      <c r="AG39" s="8"/>
      <c r="AH39" s="8"/>
      <c r="AI39" s="8"/>
    </row>
    <row r="40" spans="2:35" ht="12.75" customHeight="1" thickBot="1" x14ac:dyDescent="0.25">
      <c r="C40" s="9"/>
      <c r="D40" s="9"/>
      <c r="E40" s="9"/>
      <c r="F40" s="9"/>
      <c r="G40" s="9"/>
      <c r="H40" s="9"/>
      <c r="I40" s="30"/>
      <c r="J40" s="9"/>
      <c r="K40" s="197" t="s">
        <v>19</v>
      </c>
      <c r="L40" s="198"/>
      <c r="M40" s="199" t="s">
        <v>16</v>
      </c>
      <c r="N40" s="200"/>
      <c r="O40" s="199" t="s">
        <v>25</v>
      </c>
      <c r="P40" s="201"/>
      <c r="Q40" s="1"/>
      <c r="R40" s="1"/>
      <c r="X40" s="11"/>
      <c r="Y40" s="7"/>
      <c r="Z40" s="8"/>
      <c r="AA40" s="8"/>
      <c r="AB40" s="8"/>
      <c r="AC40" s="8"/>
      <c r="AD40" s="8"/>
      <c r="AE40" s="8"/>
      <c r="AF40" s="8"/>
      <c r="AG40" s="8"/>
      <c r="AH40" s="8"/>
      <c r="AI40" s="8"/>
    </row>
    <row r="41" spans="2:35" ht="12.75" customHeight="1" x14ac:dyDescent="0.2">
      <c r="C41" s="9"/>
      <c r="D41" s="9"/>
      <c r="E41" s="9"/>
      <c r="F41" s="9"/>
      <c r="G41" s="9"/>
      <c r="H41" s="9"/>
      <c r="I41" s="30"/>
      <c r="J41" s="9"/>
      <c r="K41" s="202"/>
      <c r="L41" s="203"/>
      <c r="M41" s="208" t="s">
        <v>17</v>
      </c>
      <c r="N41" s="209"/>
      <c r="O41" s="210" cm="1">
        <f t="array" ref="O41">IF(OR(E22:E33="Enter value",G22:G33="Enter value"),"Enter value",MIN(E22:E33,G22:G33))</f>
        <v>0</v>
      </c>
      <c r="P41" s="211"/>
      <c r="Q41" s="9"/>
      <c r="R41" s="9"/>
      <c r="S41" s="8"/>
      <c r="X41" s="11"/>
      <c r="Y41" s="7"/>
      <c r="Z41" s="7"/>
      <c r="AA41" s="7"/>
      <c r="AB41" s="7"/>
      <c r="AC41" s="7"/>
      <c r="AD41" s="8"/>
      <c r="AE41" s="8"/>
      <c r="AF41" s="8"/>
      <c r="AG41" s="8"/>
      <c r="AH41" s="8"/>
      <c r="AI41" s="8"/>
    </row>
    <row r="42" spans="2:35" ht="12.75" customHeight="1" thickBot="1" x14ac:dyDescent="0.25">
      <c r="C42" s="9"/>
      <c r="D42" s="9"/>
      <c r="E42" s="9"/>
      <c r="F42" s="9"/>
      <c r="G42" s="9"/>
      <c r="H42" s="9"/>
      <c r="I42" s="30"/>
      <c r="J42" s="9"/>
      <c r="K42" s="204"/>
      <c r="L42" s="205"/>
      <c r="M42" s="212" t="s">
        <v>18</v>
      </c>
      <c r="N42" s="213"/>
      <c r="O42" s="214" t="s">
        <v>52</v>
      </c>
      <c r="P42" s="215"/>
      <c r="Q42" s="1"/>
      <c r="R42" s="1"/>
      <c r="U42" s="216" t="s">
        <v>55</v>
      </c>
      <c r="V42" s="216"/>
      <c r="W42" s="216"/>
      <c r="X42" s="216"/>
      <c r="Y42" s="216"/>
      <c r="Z42" s="216"/>
      <c r="AA42" s="216"/>
      <c r="AB42" s="38"/>
      <c r="AC42" s="38"/>
      <c r="AD42" s="39"/>
      <c r="AE42" s="39"/>
      <c r="AF42" s="39"/>
      <c r="AG42" s="39"/>
      <c r="AH42" s="8"/>
      <c r="AI42" s="8"/>
    </row>
    <row r="43" spans="2:35" ht="12.75" customHeight="1" thickBot="1" x14ac:dyDescent="0.25">
      <c r="C43" s="9"/>
      <c r="D43" s="9"/>
      <c r="E43" s="9"/>
      <c r="F43" s="9"/>
      <c r="G43" s="9"/>
      <c r="H43" s="9"/>
      <c r="I43" s="30"/>
      <c r="J43" s="9"/>
      <c r="K43" s="206"/>
      <c r="L43" s="207"/>
      <c r="M43" s="190" t="s">
        <v>51</v>
      </c>
      <c r="N43" s="191"/>
      <c r="O43" s="192" t="str">
        <f>IF(OR(O41="Enter value",O42="Enter value"),"",ABS(O42-O41))</f>
        <v/>
      </c>
      <c r="P43" s="193"/>
      <c r="Q43" s="9"/>
      <c r="R43" s="9"/>
      <c r="S43" s="8"/>
      <c r="T43" s="8"/>
      <c r="U43" s="8"/>
      <c r="V43" s="194" t="s">
        <v>56</v>
      </c>
      <c r="W43" s="194"/>
      <c r="X43" s="194"/>
      <c r="Y43" s="194"/>
      <c r="Z43" s="194"/>
      <c r="AA43" s="194"/>
      <c r="AB43" s="194"/>
      <c r="AC43" s="194"/>
      <c r="AD43" s="194"/>
      <c r="AE43" s="194"/>
      <c r="AF43" s="194"/>
      <c r="AG43" s="39"/>
      <c r="AH43" s="8"/>
      <c r="AI43" s="8"/>
    </row>
    <row r="44" spans="2:35" ht="12.75" customHeight="1" x14ac:dyDescent="0.2">
      <c r="C44" s="9"/>
      <c r="D44" s="9"/>
      <c r="E44" s="9"/>
      <c r="F44" s="9"/>
      <c r="G44" s="9"/>
      <c r="H44" s="9"/>
      <c r="I44" s="30"/>
      <c r="J44" s="9"/>
      <c r="K44" s="9"/>
      <c r="L44" s="9"/>
      <c r="M44" s="9"/>
      <c r="N44" s="9"/>
      <c r="O44" s="9"/>
      <c r="P44" s="9"/>
      <c r="Q44" s="9"/>
      <c r="R44" s="9"/>
      <c r="S44" s="8"/>
      <c r="T44" s="8"/>
      <c r="U44" s="8"/>
      <c r="V44" s="39"/>
      <c r="W44" s="39"/>
      <c r="X44" s="39"/>
      <c r="Y44" s="39"/>
      <c r="Z44" s="39"/>
      <c r="AA44" s="39"/>
      <c r="AB44" s="39"/>
      <c r="AC44" s="39"/>
      <c r="AD44" s="39"/>
      <c r="AE44" s="39"/>
      <c r="AF44" s="39"/>
      <c r="AG44" s="39"/>
      <c r="AH44" s="8"/>
      <c r="AI44" s="8"/>
    </row>
    <row r="45" spans="2:35" ht="12.75" customHeight="1" x14ac:dyDescent="0.2">
      <c r="C45" s="9"/>
      <c r="D45" s="9"/>
      <c r="E45" s="9"/>
      <c r="F45" s="9"/>
      <c r="G45" s="9"/>
      <c r="H45" s="9"/>
      <c r="I45" s="30"/>
      <c r="J45" s="9"/>
      <c r="K45" s="9"/>
      <c r="L45" s="9"/>
      <c r="M45" s="9"/>
      <c r="N45" s="9"/>
      <c r="O45" s="9"/>
      <c r="P45" s="9"/>
      <c r="Q45" s="1"/>
      <c r="R45" s="1"/>
      <c r="U45" s="11"/>
      <c r="V45" s="195" t="s">
        <v>54</v>
      </c>
      <c r="W45" s="195"/>
      <c r="X45" s="195"/>
      <c r="Y45" s="195"/>
      <c r="Z45" s="195"/>
      <c r="AA45" s="195"/>
      <c r="AB45" s="195"/>
      <c r="AC45" s="195"/>
      <c r="AD45" s="195"/>
      <c r="AE45" s="195"/>
      <c r="AF45" s="195"/>
      <c r="AG45" s="39"/>
      <c r="AH45" s="8"/>
      <c r="AI45" s="8"/>
    </row>
    <row r="46" spans="2:35" ht="15" customHeight="1" x14ac:dyDescent="0.2">
      <c r="C46" s="9"/>
      <c r="D46" s="9"/>
      <c r="E46" s="9"/>
      <c r="F46" s="9"/>
      <c r="G46" s="9"/>
      <c r="H46" s="9"/>
      <c r="I46" s="30"/>
      <c r="J46" s="9"/>
      <c r="K46" s="9"/>
      <c r="L46" s="9"/>
      <c r="M46" s="9"/>
      <c r="N46" s="9"/>
      <c r="O46" s="9"/>
      <c r="P46" s="9"/>
      <c r="Q46" s="1"/>
      <c r="R46" s="1"/>
      <c r="U46" s="11"/>
      <c r="V46" s="38"/>
      <c r="W46" s="195" t="s">
        <v>57</v>
      </c>
      <c r="X46" s="195"/>
      <c r="Y46" s="195"/>
      <c r="Z46" s="195"/>
      <c r="AA46" s="195"/>
      <c r="AB46" s="195"/>
      <c r="AC46" s="195"/>
      <c r="AD46" s="195"/>
      <c r="AE46" s="195"/>
      <c r="AF46" s="195"/>
      <c r="AG46" s="39"/>
      <c r="AH46" s="8"/>
      <c r="AI46" s="8"/>
    </row>
    <row r="47" spans="2:35" ht="15" customHeight="1" x14ac:dyDescent="0.2">
      <c r="C47" s="9"/>
      <c r="D47" s="9"/>
      <c r="E47" s="9"/>
      <c r="F47" s="9"/>
      <c r="G47" s="9"/>
      <c r="H47" s="9"/>
      <c r="I47" s="30"/>
      <c r="J47" s="9"/>
      <c r="K47" s="9"/>
      <c r="L47" s="9"/>
      <c r="M47" s="9"/>
      <c r="N47" s="9"/>
      <c r="O47" s="9"/>
      <c r="P47" s="9"/>
      <c r="Q47" s="1"/>
      <c r="R47" s="1"/>
      <c r="U47" s="11"/>
      <c r="V47" s="38"/>
      <c r="W47" s="195" t="s">
        <v>58</v>
      </c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8"/>
      <c r="AI47" s="8"/>
    </row>
    <row r="48" spans="2:35" ht="15" customHeight="1" x14ac:dyDescent="0.2">
      <c r="C48" s="9"/>
      <c r="D48" s="9"/>
      <c r="E48" s="9"/>
      <c r="F48" s="9"/>
      <c r="G48" s="9"/>
      <c r="H48" s="9"/>
      <c r="I48" s="30"/>
      <c r="J48" s="9"/>
      <c r="K48" s="1"/>
      <c r="L48" s="1"/>
      <c r="M48" s="1"/>
      <c r="N48" s="9"/>
      <c r="O48" s="1"/>
      <c r="P48" s="1"/>
      <c r="Q48" s="1"/>
      <c r="R48" s="1"/>
      <c r="U48" s="11"/>
      <c r="V48" s="7"/>
      <c r="W48" s="7"/>
      <c r="X48" s="7"/>
      <c r="Y48" s="7"/>
      <c r="Z48" s="8"/>
      <c r="AA48" s="8"/>
      <c r="AB48" s="8"/>
      <c r="AC48" s="8"/>
      <c r="AD48" s="8"/>
      <c r="AE48" s="8"/>
      <c r="AF48" s="8"/>
      <c r="AG48" s="8"/>
      <c r="AH48" s="8"/>
      <c r="AI48" s="8"/>
    </row>
    <row r="49" spans="2:35" ht="12.75" customHeight="1" x14ac:dyDescent="0.2">
      <c r="C49" s="9"/>
      <c r="D49" s="9"/>
      <c r="E49" s="9"/>
      <c r="F49" s="9"/>
      <c r="G49" s="9"/>
      <c r="H49" s="9"/>
      <c r="I49" s="30"/>
      <c r="J49" s="9"/>
      <c r="K49" s="1"/>
      <c r="L49" s="1"/>
      <c r="M49" s="1"/>
      <c r="N49" s="1"/>
      <c r="O49" s="1"/>
      <c r="P49" s="1"/>
      <c r="Q49" s="1"/>
      <c r="R49" s="1"/>
      <c r="U49" s="11"/>
      <c r="V49" s="7"/>
      <c r="W49" s="7"/>
      <c r="X49" s="7"/>
      <c r="Y49" s="7"/>
      <c r="Z49" s="8"/>
      <c r="AA49" s="8"/>
      <c r="AB49" s="8"/>
      <c r="AC49" s="8"/>
      <c r="AD49" s="8"/>
      <c r="AE49" s="8"/>
      <c r="AF49" s="8"/>
      <c r="AG49" s="8"/>
      <c r="AH49" s="8"/>
      <c r="AI49" s="8"/>
    </row>
    <row r="50" spans="2:35" x14ac:dyDescent="0.2">
      <c r="B50" s="12"/>
      <c r="C50" s="9"/>
      <c r="D50" s="9"/>
      <c r="E50" s="9"/>
      <c r="F50" s="9"/>
      <c r="G50" s="9"/>
      <c r="H50" s="9"/>
      <c r="I50" s="30"/>
      <c r="J50" s="9"/>
      <c r="K50" s="1"/>
      <c r="L50" s="1"/>
      <c r="M50" s="1"/>
      <c r="N50" s="1"/>
      <c r="O50" s="1"/>
      <c r="P50" s="1"/>
      <c r="Q50" s="1"/>
      <c r="R50" s="1"/>
      <c r="X50" s="11"/>
      <c r="Y50" s="7"/>
      <c r="Z50" s="7"/>
      <c r="AA50" s="7"/>
      <c r="AB50" s="7"/>
      <c r="AC50" s="7"/>
      <c r="AD50" s="8"/>
      <c r="AE50" s="8"/>
      <c r="AF50" s="8"/>
      <c r="AG50" s="8"/>
      <c r="AH50" s="8"/>
      <c r="AI50" s="8"/>
    </row>
    <row r="51" spans="2:35" x14ac:dyDescent="0.2">
      <c r="C51" s="9"/>
      <c r="D51" s="9"/>
      <c r="E51" s="9"/>
      <c r="F51" s="9"/>
      <c r="G51" s="9"/>
      <c r="H51" s="9"/>
      <c r="I51" s="30"/>
      <c r="J51" s="9"/>
      <c r="K51" s="9"/>
      <c r="L51" s="9"/>
      <c r="M51" s="9"/>
      <c r="N51" s="9"/>
      <c r="O51" s="9"/>
      <c r="P51" s="9"/>
      <c r="Q51" s="1"/>
      <c r="R51" s="1"/>
    </row>
    <row r="52" spans="2:35" x14ac:dyDescent="0.2">
      <c r="C52" s="9"/>
      <c r="D52" s="9"/>
      <c r="E52" s="9"/>
      <c r="F52" s="9"/>
      <c r="G52" s="9"/>
      <c r="H52" s="9"/>
      <c r="I52" s="30"/>
      <c r="J52" s="9"/>
      <c r="K52" s="9"/>
      <c r="L52" s="9"/>
      <c r="M52" s="9"/>
      <c r="N52" s="9"/>
      <c r="O52" s="9"/>
      <c r="P52" s="9"/>
      <c r="Q52" s="1"/>
      <c r="R52" s="1"/>
    </row>
    <row r="53" spans="2:35" x14ac:dyDescent="0.2">
      <c r="C53" s="9"/>
      <c r="D53" s="9"/>
      <c r="E53" s="9"/>
      <c r="F53" s="9"/>
      <c r="G53" s="9"/>
      <c r="H53" s="9"/>
      <c r="I53" s="30"/>
      <c r="J53" s="9"/>
      <c r="K53" s="9"/>
      <c r="L53" s="9"/>
      <c r="M53" s="9"/>
      <c r="N53" s="9"/>
      <c r="O53" s="9"/>
      <c r="P53" s="9"/>
      <c r="Q53" s="1"/>
      <c r="R53" s="1"/>
    </row>
    <row r="54" spans="2:35" x14ac:dyDescent="0.2">
      <c r="C54" s="9"/>
      <c r="D54" s="9"/>
      <c r="E54" s="9"/>
      <c r="F54" s="9"/>
      <c r="G54" s="9"/>
      <c r="H54" s="9"/>
      <c r="I54" s="30"/>
      <c r="J54" s="9"/>
      <c r="K54" s="9"/>
      <c r="L54" s="9"/>
      <c r="M54" s="9"/>
      <c r="N54" s="9"/>
      <c r="O54" s="9"/>
      <c r="P54" s="9"/>
      <c r="Q54" s="1"/>
      <c r="R54" s="1"/>
    </row>
    <row r="55" spans="2:35" x14ac:dyDescent="0.2">
      <c r="C55" s="9"/>
      <c r="D55" s="9"/>
      <c r="E55" s="9"/>
      <c r="F55" s="9"/>
      <c r="G55" s="9"/>
      <c r="H55" s="9"/>
      <c r="I55" s="30"/>
      <c r="J55" s="9"/>
      <c r="K55" s="9"/>
      <c r="L55" s="9"/>
      <c r="M55" s="9"/>
      <c r="N55" s="9"/>
      <c r="O55" s="9"/>
      <c r="P55" s="9"/>
      <c r="Q55" s="1"/>
      <c r="R55" s="1"/>
    </row>
    <row r="56" spans="2:35" x14ac:dyDescent="0.2">
      <c r="C56" s="9"/>
      <c r="D56" s="9"/>
      <c r="E56" s="9"/>
      <c r="F56" s="9"/>
      <c r="G56" s="9"/>
      <c r="H56" s="9"/>
      <c r="I56" s="30"/>
      <c r="J56" s="9"/>
      <c r="K56" s="9"/>
      <c r="L56" s="9"/>
      <c r="M56" s="9"/>
      <c r="N56" s="9"/>
      <c r="O56" s="9"/>
      <c r="P56" s="9"/>
      <c r="Q56" s="1"/>
      <c r="R56" s="1"/>
    </row>
    <row r="57" spans="2:35" x14ac:dyDescent="0.2">
      <c r="C57" s="9"/>
      <c r="D57" s="9"/>
      <c r="E57" s="9"/>
      <c r="F57" s="9"/>
      <c r="G57" s="9"/>
      <c r="H57" s="9"/>
      <c r="I57" s="30"/>
      <c r="J57" s="9"/>
      <c r="K57" s="9"/>
      <c r="L57" s="9"/>
      <c r="M57" s="9"/>
      <c r="N57" s="9"/>
      <c r="O57" s="9"/>
      <c r="P57" s="9"/>
      <c r="Q57" s="1"/>
      <c r="R57" s="1"/>
    </row>
    <row r="58" spans="2:35" x14ac:dyDescent="0.2">
      <c r="C58" s="9"/>
      <c r="D58" s="9"/>
      <c r="E58" s="9"/>
      <c r="F58" s="9"/>
      <c r="G58" s="9"/>
      <c r="H58" s="9"/>
      <c r="I58" s="30"/>
      <c r="J58" s="9"/>
      <c r="K58" s="9"/>
      <c r="L58" s="9"/>
      <c r="M58" s="9"/>
      <c r="N58" s="9"/>
      <c r="O58" s="9"/>
      <c r="P58" s="9"/>
      <c r="Q58" s="1"/>
      <c r="R58" s="1"/>
    </row>
    <row r="59" spans="2:35" x14ac:dyDescent="0.2">
      <c r="C59" s="9"/>
      <c r="D59" s="9"/>
      <c r="E59" s="9"/>
      <c r="F59" s="9"/>
      <c r="G59" s="9"/>
      <c r="H59" s="9"/>
      <c r="I59" s="30"/>
      <c r="J59" s="9"/>
      <c r="K59" s="9"/>
      <c r="L59" s="9"/>
      <c r="M59" s="9"/>
      <c r="N59" s="9"/>
      <c r="O59" s="9"/>
      <c r="P59" s="9"/>
      <c r="Q59" s="1"/>
      <c r="R59" s="1"/>
    </row>
    <row r="60" spans="2:35" x14ac:dyDescent="0.2">
      <c r="C60" s="9"/>
      <c r="D60" s="9"/>
      <c r="E60" s="9"/>
      <c r="F60" s="9"/>
      <c r="G60" s="9"/>
      <c r="H60" s="9"/>
      <c r="I60" s="30"/>
      <c r="J60" s="9"/>
      <c r="K60" s="9"/>
      <c r="L60" s="9"/>
      <c r="M60" s="9"/>
      <c r="N60" s="9"/>
      <c r="O60" s="9"/>
      <c r="P60" s="9"/>
      <c r="Q60" s="1"/>
      <c r="R60" s="1"/>
    </row>
    <row r="61" spans="2:35" x14ac:dyDescent="0.2">
      <c r="C61" s="9"/>
      <c r="D61" s="9"/>
      <c r="E61" s="9"/>
      <c r="F61" s="9"/>
      <c r="G61" s="9"/>
      <c r="H61" s="9"/>
      <c r="I61" s="30"/>
      <c r="J61" s="9"/>
      <c r="K61" s="9"/>
      <c r="L61" s="9"/>
      <c r="M61" s="9"/>
      <c r="N61" s="9"/>
      <c r="O61" s="9"/>
      <c r="P61" s="9"/>
      <c r="Q61" s="1"/>
      <c r="R61" s="1"/>
    </row>
    <row r="62" spans="2:35" x14ac:dyDescent="0.2">
      <c r="C62" s="9"/>
      <c r="D62" s="9"/>
      <c r="E62" s="9"/>
      <c r="F62" s="9"/>
      <c r="G62" s="9"/>
      <c r="H62" s="9"/>
      <c r="I62" s="30"/>
      <c r="J62" s="9"/>
      <c r="K62" s="9"/>
      <c r="L62" s="9"/>
      <c r="M62" s="9"/>
      <c r="N62" s="9"/>
      <c r="O62" s="9"/>
      <c r="P62" s="9"/>
      <c r="Q62" s="1"/>
      <c r="R62" s="1"/>
    </row>
    <row r="63" spans="2:35" x14ac:dyDescent="0.2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"/>
      <c r="R63" s="1"/>
    </row>
    <row r="64" spans="2:35" x14ac:dyDescent="0.2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1"/>
      <c r="R64" s="1"/>
    </row>
    <row r="65" spans="3:35" x14ac:dyDescent="0.2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1"/>
      <c r="R65" s="1"/>
    </row>
    <row r="66" spans="3:35" x14ac:dyDescent="0.2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1"/>
      <c r="R66" s="1"/>
    </row>
    <row r="67" spans="3:35" x14ac:dyDescent="0.2"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1"/>
      <c r="R67" s="1"/>
    </row>
    <row r="68" spans="3:35" x14ac:dyDescent="0.2"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1"/>
      <c r="R68" s="1"/>
    </row>
    <row r="69" spans="3:35" x14ac:dyDescent="0.2"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"/>
      <c r="R69" s="1"/>
    </row>
    <row r="70" spans="3:35" x14ac:dyDescent="0.2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"/>
      <c r="R70" s="1"/>
    </row>
    <row r="71" spans="3:35" x14ac:dyDescent="0.2">
      <c r="C71" s="9"/>
      <c r="D71" s="9"/>
      <c r="E71" s="12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"/>
      <c r="R71" s="1"/>
    </row>
    <row r="72" spans="3:35" x14ac:dyDescent="0.2"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1"/>
      <c r="R72" s="1"/>
    </row>
    <row r="73" spans="3:35" x14ac:dyDescent="0.2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1"/>
      <c r="P73" s="1"/>
      <c r="Q73" s="1"/>
      <c r="AA73" s="11"/>
      <c r="AB73" s="7"/>
      <c r="AC73" s="7"/>
      <c r="AD73" s="7"/>
      <c r="AH73" s="8"/>
      <c r="AI73" s="8"/>
    </row>
    <row r="74" spans="3:35" x14ac:dyDescent="0.2">
      <c r="C74" s="9"/>
      <c r="O74" s="2"/>
      <c r="P74" s="2"/>
      <c r="AA74" s="11"/>
      <c r="AB74" s="7"/>
      <c r="AC74" s="7"/>
      <c r="AD74" s="7"/>
      <c r="AH74" s="8"/>
      <c r="AI74" s="8"/>
    </row>
    <row r="75" spans="3:35" x14ac:dyDescent="0.2">
      <c r="C75" s="9"/>
      <c r="O75" s="2"/>
      <c r="P75" s="2"/>
      <c r="AA75" s="11"/>
      <c r="AB75" s="7"/>
      <c r="AC75" s="7"/>
      <c r="AD75" s="7"/>
      <c r="AH75" s="8"/>
      <c r="AI75" s="8"/>
    </row>
    <row r="76" spans="3:35" x14ac:dyDescent="0.2">
      <c r="C76" s="9"/>
      <c r="O76" s="2"/>
      <c r="P76" s="2"/>
      <c r="AA76" s="11"/>
      <c r="AB76" s="7"/>
      <c r="AC76" s="7"/>
      <c r="AD76" s="7"/>
      <c r="AH76" s="8"/>
      <c r="AI76" s="8"/>
    </row>
  </sheetData>
  <sheetProtection formatCells="0"/>
  <mergeCells count="132">
    <mergeCell ref="AA4:AD5"/>
    <mergeCell ref="H5:P5"/>
    <mergeCell ref="H6:P6"/>
    <mergeCell ref="T6:U6"/>
    <mergeCell ref="H7:P7"/>
    <mergeCell ref="T7:U7"/>
    <mergeCell ref="G2:K2"/>
    <mergeCell ref="N2:P2"/>
    <mergeCell ref="T2:AD2"/>
    <mergeCell ref="T3:U3"/>
    <mergeCell ref="T4:U5"/>
    <mergeCell ref="V4:V5"/>
    <mergeCell ref="W4:W5"/>
    <mergeCell ref="X4:X5"/>
    <mergeCell ref="Y4:Y5"/>
    <mergeCell ref="Z4:Z5"/>
    <mergeCell ref="C13:E13"/>
    <mergeCell ref="G16:H16"/>
    <mergeCell ref="J16:K17"/>
    <mergeCell ref="L16:M16"/>
    <mergeCell ref="N16:Q16"/>
    <mergeCell ref="E19:H19"/>
    <mergeCell ref="I19:P19"/>
    <mergeCell ref="T8:U8"/>
    <mergeCell ref="C10:E10"/>
    <mergeCell ref="G10:J10"/>
    <mergeCell ref="C11:E11"/>
    <mergeCell ref="G11:J11"/>
    <mergeCell ref="C12:E12"/>
    <mergeCell ref="E20:F20"/>
    <mergeCell ref="G20:H20"/>
    <mergeCell ref="I20:L20"/>
    <mergeCell ref="M20:P20"/>
    <mergeCell ref="B21:D21"/>
    <mergeCell ref="I21:J21"/>
    <mergeCell ref="K21:L21"/>
    <mergeCell ref="M21:N21"/>
    <mergeCell ref="O21:P21"/>
    <mergeCell ref="B22:D22"/>
    <mergeCell ref="I22:J22"/>
    <mergeCell ref="K22:L22"/>
    <mergeCell ref="M22:N22"/>
    <mergeCell ref="O22:P22"/>
    <mergeCell ref="B23:D23"/>
    <mergeCell ref="I23:J23"/>
    <mergeCell ref="K23:L23"/>
    <mergeCell ref="M23:N23"/>
    <mergeCell ref="O23:P23"/>
    <mergeCell ref="U25:V25"/>
    <mergeCell ref="B26:D26"/>
    <mergeCell ref="I26:J26"/>
    <mergeCell ref="K26:L26"/>
    <mergeCell ref="M26:N26"/>
    <mergeCell ref="O26:P26"/>
    <mergeCell ref="B24:D24"/>
    <mergeCell ref="I24:J24"/>
    <mergeCell ref="K24:L24"/>
    <mergeCell ref="M24:N24"/>
    <mergeCell ref="O24:P24"/>
    <mergeCell ref="B25:D25"/>
    <mergeCell ref="I25:J25"/>
    <mergeCell ref="K25:L25"/>
    <mergeCell ref="M25:N25"/>
    <mergeCell ref="O25:P25"/>
    <mergeCell ref="B27:D27"/>
    <mergeCell ref="I27:J27"/>
    <mergeCell ref="K27:L27"/>
    <mergeCell ref="M27:N27"/>
    <mergeCell ref="O27:P27"/>
    <mergeCell ref="B28:D28"/>
    <mergeCell ref="I28:J28"/>
    <mergeCell ref="K28:L28"/>
    <mergeCell ref="M28:N28"/>
    <mergeCell ref="O28:P28"/>
    <mergeCell ref="B29:D29"/>
    <mergeCell ref="I29:J29"/>
    <mergeCell ref="K29:L29"/>
    <mergeCell ref="M29:N29"/>
    <mergeCell ref="O29:P29"/>
    <mergeCell ref="B30:D30"/>
    <mergeCell ref="I30:J30"/>
    <mergeCell ref="K30:L30"/>
    <mergeCell ref="M30:N30"/>
    <mergeCell ref="O30:P30"/>
    <mergeCell ref="B31:D31"/>
    <mergeCell ref="I31:J31"/>
    <mergeCell ref="K31:L31"/>
    <mergeCell ref="M31:N31"/>
    <mergeCell ref="O31:P31"/>
    <mergeCell ref="B32:D32"/>
    <mergeCell ref="I32:J32"/>
    <mergeCell ref="K32:L32"/>
    <mergeCell ref="M32:N32"/>
    <mergeCell ref="O32:P32"/>
    <mergeCell ref="B33:D33"/>
    <mergeCell ref="I33:J33"/>
    <mergeCell ref="K33:L33"/>
    <mergeCell ref="M33:N33"/>
    <mergeCell ref="O33:P33"/>
    <mergeCell ref="B34:D34"/>
    <mergeCell ref="I34:J34"/>
    <mergeCell ref="K34:L34"/>
    <mergeCell ref="M34:N34"/>
    <mergeCell ref="O34:P34"/>
    <mergeCell ref="B36:D36"/>
    <mergeCell ref="I36:J36"/>
    <mergeCell ref="K36:L36"/>
    <mergeCell ref="M36:N36"/>
    <mergeCell ref="O36:P36"/>
    <mergeCell ref="T36:V36"/>
    <mergeCell ref="B35:D35"/>
    <mergeCell ref="I35:J35"/>
    <mergeCell ref="K35:L35"/>
    <mergeCell ref="M35:N35"/>
    <mergeCell ref="O35:P35"/>
    <mergeCell ref="S35:X35"/>
    <mergeCell ref="M43:N43"/>
    <mergeCell ref="O43:P43"/>
    <mergeCell ref="V43:AF43"/>
    <mergeCell ref="V45:AF45"/>
    <mergeCell ref="W46:AF46"/>
    <mergeCell ref="W47:AG47"/>
    <mergeCell ref="W36:AD36"/>
    <mergeCell ref="K40:L40"/>
    <mergeCell ref="M40:N40"/>
    <mergeCell ref="O40:P40"/>
    <mergeCell ref="K41:L43"/>
    <mergeCell ref="M41:N41"/>
    <mergeCell ref="O41:P41"/>
    <mergeCell ref="M42:N42"/>
    <mergeCell ref="O42:P42"/>
    <mergeCell ref="U42:AA42"/>
  </mergeCells>
  <conditionalFormatting sqref="E22:E33 O41:P42">
    <cfRule type="cellIs" dxfId="74" priority="6" stopIfTrue="1" operator="equal">
      <formula>"Enter Value"</formula>
    </cfRule>
  </conditionalFormatting>
  <conditionalFormatting sqref="E22:E33">
    <cfRule type="cellIs" dxfId="73" priority="4" stopIfTrue="1" operator="equal">
      <formula>$E$36</formula>
    </cfRule>
    <cfRule type="cellIs" dxfId="72" priority="5" stopIfTrue="1" operator="equal">
      <formula>$E$35</formula>
    </cfRule>
  </conditionalFormatting>
  <conditionalFormatting sqref="E34:E36 G34:G36">
    <cfRule type="cellIs" dxfId="71" priority="9" stopIfTrue="1" operator="lessThanOrEqual">
      <formula>$N$16</formula>
    </cfRule>
    <cfRule type="cellIs" dxfId="70" priority="10" stopIfTrue="1" operator="greaterThan">
      <formula>$N$16</formula>
    </cfRule>
  </conditionalFormatting>
  <conditionalFormatting sqref="F22:F36 H22:H36">
    <cfRule type="notContainsBlanks" dxfId="69" priority="31" stopIfTrue="1">
      <formula>LEN(TRIM(F22))&gt;0</formula>
    </cfRule>
    <cfRule type="containsBlanks" dxfId="68" priority="32" stopIfTrue="1">
      <formula>LEN(TRIM(F22))=0</formula>
    </cfRule>
  </conditionalFormatting>
  <conditionalFormatting sqref="G22:G33">
    <cfRule type="cellIs" dxfId="67" priority="1" stopIfTrue="1" operator="equal">
      <formula>$G$36</formula>
    </cfRule>
    <cfRule type="cellIs" dxfId="66" priority="2" stopIfTrue="1" operator="equal">
      <formula>$G$35</formula>
    </cfRule>
    <cfRule type="cellIs" dxfId="65" priority="3" stopIfTrue="1" operator="equal">
      <formula>"Enter Value"</formula>
    </cfRule>
  </conditionalFormatting>
  <conditionalFormatting sqref="H5">
    <cfRule type="cellIs" dxfId="64" priority="26" stopIfTrue="1" operator="equal">
      <formula>0</formula>
    </cfRule>
  </conditionalFormatting>
  <conditionalFormatting sqref="H6">
    <cfRule type="cellIs" dxfId="63" priority="28" stopIfTrue="1" operator="equal">
      <formula>"Choose King Antena"</formula>
    </cfRule>
  </conditionalFormatting>
  <conditionalFormatting sqref="H7">
    <cfRule type="cellIs" dxfId="62" priority="27" stopIfTrue="1" operator="equal">
      <formula>"Choose Frequency"</formula>
    </cfRule>
  </conditionalFormatting>
  <conditionalFormatting sqref="I8">
    <cfRule type="cellIs" dxfId="61" priority="30" stopIfTrue="1" operator="equal">
      <formula>"Chose Frequency"</formula>
    </cfRule>
  </conditionalFormatting>
  <conditionalFormatting sqref="I34:I36 M34:M36">
    <cfRule type="cellIs" dxfId="60" priority="20" stopIfTrue="1" operator="lessThanOrEqual">
      <formula>$G$16</formula>
    </cfRule>
    <cfRule type="cellIs" dxfId="59" priority="21" stopIfTrue="1" operator="greaterThan">
      <formula>$G$16</formula>
    </cfRule>
  </conditionalFormatting>
  <conditionalFormatting sqref="I22:J33 M22:N33">
    <cfRule type="cellIs" dxfId="58" priority="18" stopIfTrue="1" operator="lessThan">
      <formula>$G$16</formula>
    </cfRule>
    <cfRule type="cellIs" dxfId="57" priority="19" stopIfTrue="1" operator="greaterThanOrEqual">
      <formula>$G$16</formula>
    </cfRule>
  </conditionalFormatting>
  <conditionalFormatting sqref="K22:K33 O22:P33">
    <cfRule type="cellIs" dxfId="56" priority="16" stopIfTrue="1" operator="lessThan">
      <formula>$J$16</formula>
    </cfRule>
    <cfRule type="cellIs" dxfId="55" priority="17" stopIfTrue="1" operator="greaterThanOrEqual">
      <formula>$J$16</formula>
    </cfRule>
  </conditionalFormatting>
  <conditionalFormatting sqref="K34:K36 O34:O36">
    <cfRule type="cellIs" dxfId="54" priority="24" stopIfTrue="1" operator="lessThanOrEqual">
      <formula>$J$16</formula>
    </cfRule>
    <cfRule type="cellIs" dxfId="53" priority="25" stopIfTrue="1" operator="greaterThan">
      <formula>$J$16</formula>
    </cfRule>
  </conditionalFormatting>
  <conditionalFormatting sqref="K41:L43">
    <cfRule type="cellIs" dxfId="52" priority="29" stopIfTrue="1" operator="equal">
      <formula>"Enter Value"</formula>
    </cfRule>
  </conditionalFormatting>
  <conditionalFormatting sqref="O43:P43">
    <cfRule type="cellIs" dxfId="51" priority="14" stopIfTrue="1" operator="between">
      <formula>-5.2</formula>
      <formula>5.2</formula>
    </cfRule>
    <cfRule type="cellIs" dxfId="50" priority="15" stopIfTrue="1" operator="notBetween">
      <formula>-5.2</formula>
      <formula>5.2</formula>
    </cfRule>
  </conditionalFormatting>
  <dataValidations count="3">
    <dataValidation type="list" allowBlank="1" showInputMessage="1" showErrorMessage="1" sqref="I8" xr:uid="{00000000-0002-0000-0000-000000000000}">
      <formula1>$V$6:$AF$6</formula1>
    </dataValidation>
    <dataValidation type="list" allowBlank="1" showInputMessage="1" showErrorMessage="1" sqref="H7" xr:uid="{00000000-0002-0000-0000-000001000000}">
      <formula1>$V$6:$AE$6</formula1>
    </dataValidation>
    <dataValidation type="list" allowBlank="1" showInputMessage="1" showErrorMessage="1" sqref="H6:P6" xr:uid="{00000000-0002-0000-0000-000002000000}">
      <formula1>$Y$11:$Y$32</formula1>
    </dataValidation>
  </dataValidations>
  <printOptions horizontalCentered="1"/>
  <pageMargins left="0.78740157480314965" right="0.78740157480314965" top="0.78740157480314965" bottom="0.78740157480314965" header="0" footer="0"/>
  <pageSetup paperSize="9" scale="83" orientation="portrait" r:id="rId1"/>
  <headerFooter alignWithMargins="0">
    <oddHeader>&amp;LSomfy Laboratory&amp;RRx Diagram V2.1</oddHeader>
  </headerFooter>
  <colBreaks count="1" manualBreakCount="1">
    <brk id="18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A76"/>
  <sheetViews>
    <sheetView topLeftCell="A19" workbookViewId="0">
      <selection activeCell="H34" sqref="H34"/>
    </sheetView>
  </sheetViews>
  <sheetFormatPr defaultColWidth="11.44140625" defaultRowHeight="10.199999999999999" x14ac:dyDescent="0.2"/>
  <cols>
    <col min="1" max="1" width="4" style="9" customWidth="1"/>
    <col min="2" max="2" width="3.44140625" style="9" customWidth="1"/>
    <col min="3" max="3" width="7" style="8" customWidth="1"/>
    <col min="4" max="4" width="1.44140625" style="8" customWidth="1"/>
    <col min="5" max="8" width="9" style="8" customWidth="1"/>
    <col min="9" max="11" width="5.5546875" style="8" customWidth="1"/>
    <col min="12" max="12" width="11.88671875" style="8" customWidth="1"/>
    <col min="13" max="13" width="5.5546875" style="8" customWidth="1"/>
    <col min="14" max="14" width="8.6640625" style="8" customWidth="1"/>
    <col min="15" max="15" width="5.5546875" style="8" customWidth="1"/>
    <col min="16" max="16" width="13.5546875" style="8" customWidth="1"/>
    <col min="17" max="17" width="3" style="2" customWidth="1"/>
    <col min="18" max="18" width="4.109375" style="2" customWidth="1"/>
    <col min="19" max="19" width="3" style="142" customWidth="1"/>
    <col min="20" max="29" width="10.88671875" style="142" customWidth="1"/>
    <col min="30" max="30" width="11.44140625" style="187"/>
    <col min="31" max="34" width="11.44140625" style="167"/>
    <col min="35" max="35" width="11.44140625" style="7"/>
    <col min="36" max="16384" width="11.44140625" style="8"/>
  </cols>
  <sheetData>
    <row r="1" spans="1:183" s="4" customFormat="1" ht="10.8" thickBot="1" x14ac:dyDescent="0.25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100" t="s">
        <v>88</v>
      </c>
      <c r="Q1" s="76"/>
      <c r="R1" s="1"/>
      <c r="S1" s="131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3"/>
      <c r="AE1" s="134"/>
      <c r="AF1" s="135"/>
      <c r="AG1" s="135"/>
      <c r="AH1" s="135"/>
      <c r="AI1" s="3"/>
    </row>
    <row r="2" spans="1:183" s="4" customFormat="1" ht="24" customHeight="1" thickBot="1" x14ac:dyDescent="0.25">
      <c r="A2" s="78"/>
      <c r="B2" s="78"/>
      <c r="C2" s="93"/>
      <c r="D2" s="93"/>
      <c r="E2" s="93"/>
      <c r="F2" s="93"/>
      <c r="G2" s="300" t="s">
        <v>44</v>
      </c>
      <c r="H2" s="301"/>
      <c r="I2" s="301"/>
      <c r="J2" s="301"/>
      <c r="K2" s="302"/>
      <c r="L2" s="93"/>
      <c r="M2" s="93"/>
      <c r="N2" s="303"/>
      <c r="O2" s="304"/>
      <c r="P2" s="304"/>
      <c r="Q2" s="76"/>
      <c r="R2" s="1"/>
      <c r="S2" s="136"/>
      <c r="T2" s="327" t="s">
        <v>90</v>
      </c>
      <c r="U2" s="328"/>
      <c r="V2" s="328"/>
      <c r="W2" s="328"/>
      <c r="X2" s="328"/>
      <c r="Y2" s="328"/>
      <c r="Z2" s="328"/>
      <c r="AA2" s="328"/>
      <c r="AB2" s="328"/>
      <c r="AC2" s="328"/>
      <c r="AD2" s="329"/>
      <c r="AE2" s="137"/>
      <c r="AF2" s="135"/>
      <c r="AG2" s="135"/>
      <c r="AH2" s="135"/>
      <c r="AI2" s="3"/>
    </row>
    <row r="3" spans="1:183" s="4" customFormat="1" ht="14.25" customHeight="1" x14ac:dyDescent="0.2">
      <c r="A3" s="78"/>
      <c r="B3" s="78"/>
      <c r="C3" s="78"/>
      <c r="D3" s="101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6"/>
      <c r="R3" s="1"/>
      <c r="S3" s="136"/>
      <c r="T3" s="325" t="s">
        <v>9</v>
      </c>
      <c r="U3" s="326"/>
      <c r="V3" s="138" t="s">
        <v>64</v>
      </c>
      <c r="W3" s="138" t="s">
        <v>64</v>
      </c>
      <c r="X3" s="138" t="s">
        <v>63</v>
      </c>
      <c r="Y3" s="138" t="s">
        <v>63</v>
      </c>
      <c r="Z3" s="138" t="s">
        <v>64</v>
      </c>
      <c r="AA3" s="138" t="s">
        <v>65</v>
      </c>
      <c r="AB3" s="138" t="s">
        <v>65</v>
      </c>
      <c r="AC3" s="138" t="s">
        <v>65</v>
      </c>
      <c r="AD3" s="139" t="s">
        <v>73</v>
      </c>
      <c r="AE3" s="137"/>
      <c r="AF3" s="135"/>
      <c r="AG3" s="135"/>
      <c r="AH3" s="135"/>
      <c r="AI3" s="3"/>
    </row>
    <row r="4" spans="1:183" s="4" customFormat="1" ht="14.25" customHeight="1" thickBot="1" x14ac:dyDescent="0.25">
      <c r="A4" s="78"/>
      <c r="B4" s="78"/>
      <c r="C4" s="101"/>
      <c r="D4" s="101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6"/>
      <c r="R4" s="1"/>
      <c r="S4" s="136"/>
      <c r="T4" s="319" t="s">
        <v>8</v>
      </c>
      <c r="U4" s="321"/>
      <c r="V4" s="330" t="s">
        <v>5</v>
      </c>
      <c r="W4" s="330" t="s">
        <v>6</v>
      </c>
      <c r="X4" s="330" t="s">
        <v>53</v>
      </c>
      <c r="Y4" s="330" t="s">
        <v>7</v>
      </c>
      <c r="Z4" s="330" t="s">
        <v>27</v>
      </c>
      <c r="AA4" s="319" t="s">
        <v>10</v>
      </c>
      <c r="AB4" s="320"/>
      <c r="AC4" s="320"/>
      <c r="AD4" s="321"/>
      <c r="AE4" s="137"/>
      <c r="AF4" s="135"/>
      <c r="AG4" s="135"/>
      <c r="AH4" s="135"/>
      <c r="AI4" s="3"/>
    </row>
    <row r="5" spans="1:183" s="4" customFormat="1" ht="16.5" customHeight="1" x14ac:dyDescent="0.25">
      <c r="A5" s="78"/>
      <c r="B5" s="102" t="s">
        <v>4</v>
      </c>
      <c r="C5" s="103"/>
      <c r="D5" s="104"/>
      <c r="E5" s="105"/>
      <c r="F5" s="104"/>
      <c r="G5" s="104" t="s">
        <v>15</v>
      </c>
      <c r="H5" s="290" t="s">
        <v>93</v>
      </c>
      <c r="I5" s="291"/>
      <c r="J5" s="291"/>
      <c r="K5" s="291"/>
      <c r="L5" s="291"/>
      <c r="M5" s="291"/>
      <c r="N5" s="291"/>
      <c r="O5" s="291"/>
      <c r="P5" s="292"/>
      <c r="Q5" s="76"/>
      <c r="R5" s="1"/>
      <c r="S5" s="136"/>
      <c r="T5" s="322"/>
      <c r="U5" s="324"/>
      <c r="V5" s="331"/>
      <c r="W5" s="331"/>
      <c r="X5" s="331"/>
      <c r="Y5" s="331"/>
      <c r="Z5" s="331"/>
      <c r="AA5" s="322"/>
      <c r="AB5" s="323"/>
      <c r="AC5" s="323"/>
      <c r="AD5" s="324"/>
      <c r="AE5" s="137"/>
      <c r="AF5" s="135"/>
      <c r="AG5" s="135"/>
      <c r="AH5" s="135"/>
      <c r="AI5" s="3"/>
    </row>
    <row r="6" spans="1:183" s="5" customFormat="1" ht="16.5" customHeight="1" x14ac:dyDescent="0.25">
      <c r="A6" s="72"/>
      <c r="B6" s="106"/>
      <c r="C6" s="72"/>
      <c r="D6" s="73"/>
      <c r="E6" s="130"/>
      <c r="F6" s="73"/>
      <c r="G6" s="73" t="s">
        <v>45</v>
      </c>
      <c r="H6" s="293" t="s">
        <v>92</v>
      </c>
      <c r="I6" s="294"/>
      <c r="J6" s="294"/>
      <c r="K6" s="294"/>
      <c r="L6" s="294"/>
      <c r="M6" s="294"/>
      <c r="N6" s="294"/>
      <c r="O6" s="294"/>
      <c r="P6" s="295"/>
      <c r="Q6" s="76"/>
      <c r="R6" s="1"/>
      <c r="S6" s="136"/>
      <c r="T6" s="325" t="s">
        <v>34</v>
      </c>
      <c r="U6" s="326"/>
      <c r="V6" s="138">
        <v>409.98750000000001</v>
      </c>
      <c r="W6" s="138">
        <v>426.0625</v>
      </c>
      <c r="X6" s="140">
        <v>433.42</v>
      </c>
      <c r="Y6" s="140">
        <v>433.92</v>
      </c>
      <c r="Z6" s="140">
        <v>447.7</v>
      </c>
      <c r="AA6" s="140">
        <v>868.25</v>
      </c>
      <c r="AB6" s="140">
        <v>868.95</v>
      </c>
      <c r="AC6" s="140">
        <v>869.85</v>
      </c>
      <c r="AD6" s="138">
        <v>2400</v>
      </c>
      <c r="AE6" s="141" t="s">
        <v>28</v>
      </c>
      <c r="AF6" s="142"/>
      <c r="AG6" s="142"/>
      <c r="AH6" s="142"/>
    </row>
    <row r="7" spans="1:183" s="5" customFormat="1" ht="16.5" customHeight="1" thickBot="1" x14ac:dyDescent="0.25">
      <c r="A7" s="72"/>
      <c r="B7" s="107"/>
      <c r="C7" s="108"/>
      <c r="D7" s="109"/>
      <c r="E7" s="110"/>
      <c r="F7" s="109"/>
      <c r="G7" s="109" t="s">
        <v>3</v>
      </c>
      <c r="H7" s="298">
        <v>409.98750000000001</v>
      </c>
      <c r="I7" s="298"/>
      <c r="J7" s="298"/>
      <c r="K7" s="298"/>
      <c r="L7" s="298"/>
      <c r="M7" s="298"/>
      <c r="N7" s="298"/>
      <c r="O7" s="298"/>
      <c r="P7" s="299"/>
      <c r="Q7" s="76"/>
      <c r="R7" s="1"/>
      <c r="S7" s="136"/>
      <c r="T7" s="317" t="s">
        <v>32</v>
      </c>
      <c r="U7" s="318"/>
      <c r="V7" s="138">
        <v>4.79</v>
      </c>
      <c r="W7" s="138">
        <v>4.9000000000000004</v>
      </c>
      <c r="X7" s="138">
        <v>4.93</v>
      </c>
      <c r="Y7" s="138">
        <v>4.93</v>
      </c>
      <c r="Z7" s="138">
        <v>5.03</v>
      </c>
      <c r="AA7" s="138">
        <v>7.1</v>
      </c>
      <c r="AB7" s="138">
        <v>7.1</v>
      </c>
      <c r="AC7" s="138">
        <v>7.1</v>
      </c>
      <c r="AD7" s="138">
        <v>12.12</v>
      </c>
      <c r="AE7" s="143"/>
      <c r="AF7" s="142"/>
      <c r="AG7" s="142"/>
      <c r="AH7" s="142"/>
      <c r="AI7" s="2"/>
    </row>
    <row r="8" spans="1:183" s="5" customFormat="1" ht="16.5" customHeight="1" x14ac:dyDescent="0.2">
      <c r="A8" s="71"/>
      <c r="B8" s="72"/>
      <c r="C8" s="72"/>
      <c r="D8" s="73"/>
      <c r="E8" s="130"/>
      <c r="F8" s="73"/>
      <c r="G8" s="130"/>
      <c r="H8" s="130"/>
      <c r="I8" s="75"/>
      <c r="J8" s="130"/>
      <c r="K8" s="130"/>
      <c r="L8" s="130"/>
      <c r="M8" s="130"/>
      <c r="N8" s="130"/>
      <c r="O8" s="130"/>
      <c r="P8" s="72"/>
      <c r="Q8" s="76"/>
      <c r="R8" s="1"/>
      <c r="S8" s="136"/>
      <c r="T8" s="317" t="s">
        <v>33</v>
      </c>
      <c r="U8" s="318"/>
      <c r="V8" s="138">
        <v>17.8</v>
      </c>
      <c r="W8" s="138">
        <v>17.2</v>
      </c>
      <c r="X8" s="138">
        <v>17</v>
      </c>
      <c r="Y8" s="138">
        <v>17</v>
      </c>
      <c r="Z8" s="138">
        <v>17.100000000000001</v>
      </c>
      <c r="AA8" s="138">
        <v>23</v>
      </c>
      <c r="AB8" s="138">
        <v>23</v>
      </c>
      <c r="AC8" s="138">
        <v>23</v>
      </c>
      <c r="AD8" s="138">
        <v>30</v>
      </c>
      <c r="AE8" s="143"/>
      <c r="AF8" s="142"/>
      <c r="AG8" s="142"/>
      <c r="AH8" s="142"/>
      <c r="AI8" s="2"/>
    </row>
    <row r="9" spans="1:183" s="4" customFormat="1" ht="16.5" customHeight="1" x14ac:dyDescent="0.2">
      <c r="A9" s="77"/>
      <c r="B9" s="31" t="s">
        <v>22</v>
      </c>
      <c r="C9" s="130"/>
      <c r="D9" s="130"/>
      <c r="E9" s="78"/>
      <c r="F9" s="79"/>
      <c r="G9" s="78"/>
      <c r="H9" s="78"/>
      <c r="I9" s="80"/>
      <c r="J9" s="80"/>
      <c r="K9" s="80"/>
      <c r="L9" s="80"/>
      <c r="M9" s="79"/>
      <c r="N9" s="79"/>
      <c r="O9" s="79"/>
      <c r="P9" s="79"/>
      <c r="Q9" s="76"/>
      <c r="R9" s="1"/>
      <c r="S9" s="136"/>
      <c r="T9" s="144"/>
      <c r="U9" s="145"/>
      <c r="V9" s="145"/>
      <c r="W9" s="145"/>
      <c r="X9" s="145"/>
      <c r="Y9" s="145"/>
      <c r="Z9" s="145"/>
      <c r="AA9" s="145"/>
      <c r="AB9" s="146"/>
      <c r="AC9" s="146"/>
      <c r="AD9" s="147"/>
      <c r="AE9" s="143"/>
      <c r="AF9" s="142"/>
      <c r="AG9" s="142"/>
      <c r="AH9" s="142"/>
      <c r="AI9" s="2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</row>
    <row r="10" spans="1:183" s="4" customFormat="1" ht="19.5" customHeight="1" x14ac:dyDescent="0.2">
      <c r="A10" s="77"/>
      <c r="B10" s="78"/>
      <c r="C10" s="268" t="s">
        <v>41</v>
      </c>
      <c r="D10" s="269"/>
      <c r="E10" s="269"/>
      <c r="F10" s="130"/>
      <c r="G10" s="280">
        <f>U11+U12+U13</f>
        <v>4.79</v>
      </c>
      <c r="H10" s="281"/>
      <c r="I10" s="281"/>
      <c r="J10" s="281"/>
      <c r="K10" s="78"/>
      <c r="L10" s="79"/>
      <c r="M10" s="79"/>
      <c r="N10" s="79"/>
      <c r="O10" s="79"/>
      <c r="P10" s="78"/>
      <c r="Q10" s="76"/>
      <c r="R10" s="1"/>
      <c r="S10" s="136"/>
      <c r="T10" s="138"/>
      <c r="U10" s="138" t="s">
        <v>13</v>
      </c>
      <c r="V10" s="138" t="s">
        <v>14</v>
      </c>
      <c r="W10" s="148"/>
      <c r="X10" s="148"/>
      <c r="Y10" s="149" t="s">
        <v>60</v>
      </c>
      <c r="Z10" s="150"/>
      <c r="AA10" s="151"/>
      <c r="AB10" s="151"/>
      <c r="AC10" s="152"/>
      <c r="AD10" s="147"/>
      <c r="AE10" s="137"/>
      <c r="AF10" s="135"/>
      <c r="AG10" s="135"/>
      <c r="AH10" s="135"/>
      <c r="AI10" s="3"/>
    </row>
    <row r="11" spans="1:183" s="4" customFormat="1" ht="12.75" customHeight="1" x14ac:dyDescent="0.2">
      <c r="A11" s="77"/>
      <c r="B11" s="78"/>
      <c r="C11" s="268" t="s">
        <v>42</v>
      </c>
      <c r="D11" s="269"/>
      <c r="E11" s="269"/>
      <c r="F11" s="130"/>
      <c r="G11" s="282">
        <f>V11+V12+V13</f>
        <v>17.8</v>
      </c>
      <c r="H11" s="283"/>
      <c r="I11" s="283"/>
      <c r="J11" s="283"/>
      <c r="K11" s="78"/>
      <c r="L11" s="79"/>
      <c r="M11" s="79"/>
      <c r="N11" s="79"/>
      <c r="O11" s="79"/>
      <c r="P11" s="78"/>
      <c r="Q11" s="76"/>
      <c r="R11" s="1"/>
      <c r="S11" s="136"/>
      <c r="T11" s="138" t="s">
        <v>11</v>
      </c>
      <c r="U11" s="153">
        <f>IF(H7=V6,V7,IF(H7=W6,W7,IF(H7=X6,X7,IF(H7=Y6,Y7,IF(H7=Z6,Z7,0)))))</f>
        <v>4.79</v>
      </c>
      <c r="V11" s="154">
        <f>IF(H7=V6,V8,IF(H7=W6,W8,IF(H7=X6,X8,IF(H7=Y6,Y8,IF(H7=Z6,Z8,0)))))</f>
        <v>17.8</v>
      </c>
      <c r="W11" s="148"/>
      <c r="X11" s="148"/>
      <c r="Y11" s="155" t="s">
        <v>89</v>
      </c>
      <c r="Z11" s="156"/>
      <c r="AA11" s="157"/>
      <c r="AB11" s="157"/>
      <c r="AC11" s="158"/>
      <c r="AD11" s="147"/>
      <c r="AE11" s="137"/>
      <c r="AF11" s="135"/>
      <c r="AG11" s="135"/>
      <c r="AH11" s="159"/>
    </row>
    <row r="12" spans="1:183" s="4" customFormat="1" ht="12.75" customHeight="1" x14ac:dyDescent="0.2">
      <c r="A12" s="77"/>
      <c r="B12" s="78"/>
      <c r="C12" s="268" t="s">
        <v>1</v>
      </c>
      <c r="D12" s="269"/>
      <c r="E12" s="269"/>
      <c r="F12" s="130"/>
      <c r="G12" s="81">
        <v>3</v>
      </c>
      <c r="H12" s="129"/>
      <c r="I12" s="78"/>
      <c r="J12" s="78"/>
      <c r="K12" s="78"/>
      <c r="L12" s="79"/>
      <c r="M12" s="79"/>
      <c r="N12" s="79"/>
      <c r="O12" s="79"/>
      <c r="P12" s="78"/>
      <c r="Q12" s="76"/>
      <c r="R12" s="1"/>
      <c r="S12" s="136"/>
      <c r="T12" s="138" t="s">
        <v>12</v>
      </c>
      <c r="U12" s="153">
        <f>IF(H7=AA6,AA7,IF(H7=AB6,AB7,IF(H7=AC6,AC7,0)))</f>
        <v>0</v>
      </c>
      <c r="V12" s="154">
        <f>IF(H7=AA6,AA8,IF(H7=AB6,AB8,IF(H7=AC6,AC8,0)))</f>
        <v>0</v>
      </c>
      <c r="W12" s="148"/>
      <c r="X12" s="148"/>
      <c r="Y12" s="160" t="s">
        <v>66</v>
      </c>
      <c r="Z12" s="161"/>
      <c r="AA12" s="146"/>
      <c r="AB12" s="146"/>
      <c r="AC12" s="162"/>
      <c r="AD12" s="147"/>
      <c r="AE12" s="137"/>
      <c r="AF12" s="135"/>
      <c r="AG12" s="135"/>
      <c r="AH12" s="159"/>
    </row>
    <row r="13" spans="1:183" ht="12.75" customHeight="1" x14ac:dyDescent="0.3">
      <c r="A13" s="82"/>
      <c r="B13" s="78"/>
      <c r="C13" s="268" t="s">
        <v>2</v>
      </c>
      <c r="D13" s="269"/>
      <c r="E13" s="269"/>
      <c r="F13" s="130"/>
      <c r="G13" s="78" t="s">
        <v>38</v>
      </c>
      <c r="H13" s="83"/>
      <c r="I13" s="82"/>
      <c r="J13" s="82"/>
      <c r="K13" s="78"/>
      <c r="L13" s="84"/>
      <c r="M13" s="84"/>
      <c r="N13" s="84"/>
      <c r="O13" s="84"/>
      <c r="P13" s="82"/>
      <c r="Q13" s="76"/>
      <c r="R13" s="1"/>
      <c r="S13" s="136"/>
      <c r="T13" s="138" t="s">
        <v>72</v>
      </c>
      <c r="U13" s="153">
        <f>IF(H7=AD6,AD7,0)</f>
        <v>0</v>
      </c>
      <c r="V13" s="154">
        <f>IF(H7=AD6,AD8,0)</f>
        <v>0</v>
      </c>
      <c r="W13" s="163"/>
      <c r="X13" s="163"/>
      <c r="Y13" s="164" t="s">
        <v>67</v>
      </c>
      <c r="Z13" s="161"/>
      <c r="AA13" s="147"/>
      <c r="AB13" s="147"/>
      <c r="AC13" s="165"/>
      <c r="AD13" s="147"/>
      <c r="AE13" s="166"/>
      <c r="AH13" s="168"/>
      <c r="AI13" s="8"/>
    </row>
    <row r="14" spans="1:183" ht="12.75" customHeight="1" x14ac:dyDescent="0.2">
      <c r="A14" s="82"/>
      <c r="B14" s="78"/>
      <c r="C14" s="85" t="s">
        <v>91</v>
      </c>
      <c r="D14" s="130"/>
      <c r="E14" s="130"/>
      <c r="F14" s="130"/>
      <c r="G14" s="83"/>
      <c r="H14" s="83"/>
      <c r="I14" s="82"/>
      <c r="J14" s="82"/>
      <c r="K14" s="78"/>
      <c r="L14" s="84"/>
      <c r="M14" s="84"/>
      <c r="N14" s="84"/>
      <c r="O14" s="84"/>
      <c r="P14" s="82"/>
      <c r="Q14" s="76"/>
      <c r="R14" s="1"/>
      <c r="S14" s="136"/>
      <c r="T14" s="145"/>
      <c r="U14" s="145"/>
      <c r="V14" s="145"/>
      <c r="W14" s="163"/>
      <c r="X14" s="163"/>
      <c r="Y14" s="160" t="s">
        <v>84</v>
      </c>
      <c r="AC14" s="165"/>
      <c r="AD14" s="147"/>
      <c r="AE14" s="166"/>
      <c r="AH14" s="168"/>
      <c r="AI14" s="8"/>
    </row>
    <row r="15" spans="1:183" ht="12.75" customHeight="1" x14ac:dyDescent="0.2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4"/>
      <c r="N15" s="84"/>
      <c r="O15" s="84"/>
      <c r="P15" s="84"/>
      <c r="Q15" s="76"/>
      <c r="R15" s="1"/>
      <c r="S15" s="136"/>
      <c r="T15" s="145"/>
      <c r="U15" s="145"/>
      <c r="V15" s="145"/>
      <c r="W15" s="163"/>
      <c r="X15" s="163"/>
      <c r="Y15" s="169" t="s">
        <v>85</v>
      </c>
      <c r="AC15" s="165"/>
      <c r="AD15" s="147"/>
      <c r="AE15" s="166"/>
      <c r="AF15" s="168"/>
      <c r="AG15" s="168"/>
      <c r="AH15" s="168"/>
      <c r="AI15" s="8"/>
    </row>
    <row r="16" spans="1:183" ht="12.75" customHeight="1" x14ac:dyDescent="0.2">
      <c r="A16" s="82"/>
      <c r="B16" s="86" t="s">
        <v>26</v>
      </c>
      <c r="C16" s="82"/>
      <c r="D16" s="86"/>
      <c r="E16" s="84"/>
      <c r="F16" s="87" t="s">
        <v>20</v>
      </c>
      <c r="G16" s="270">
        <f>IF(J16 = "Choose Antena","Choose Antena",IF(J16 = "No limit associed","No limit associed",IF(J16 = "Not defined for moment","Not defined for moment",20*LOG(J16))))</f>
        <v>53.979400086720375</v>
      </c>
      <c r="H16" s="270"/>
      <c r="I16" s="88" t="s">
        <v>21</v>
      </c>
      <c r="J16" s="271">
        <f>IF(H6="RTS Printed or Wire Antenna",100,IF(H6="RTS Pairing Main Supply Antenna",250,IF(H6="RTS Printed or Wire Antenna (Korea &amp; Japan no autonomous)",71,IF(H6="RTS Pairing Main Supply Antenna (Korea &amp; Japan no autonomous)",178,IF(H6="RTS Printed or Wire Antenna (Korea &amp; Japan autonomous)",112,IF(H6="RTS Pairing Main Supply Antenna (Korea &amp; Japan autonomous)",282,IF(H6="RTX Master Printed or Wire Antenna",100,IF(H6="RTX Master Pairing Main Supply Antenna","Not defined for moment",IF(H6="RTX Slave Printed or Wire Antenna",200,IF(H6="RTX Slave Pairing Main Supply Antenna",500,IF(H6="ZIGBEE Actuators Printed or Wire Antenna",250,IF(H6="ZIGBEE Actuators Pairing Main Supply Antenna",500,IF(H6="BLE Actuators &amp; Controls Printed or Wire Antenna",1300,IF(H6="BLE Actuators &amp; Controls Pairing Main Supply Antenna",2340,IF(H6="ZIGBEE Autonomous Actuators Printed or Wire Antenna",500,IF(H6="ZIGBEE Autonomous Actuators Antenna Coupled to DC Power Wire",800,IF(H6="ZIGBEE Controls for Home Printed or Wire Antenna",250,IF(H6="ZIGBEE Controls for Home Pairing Main Supply Antenna",500,IF(H6="ZIGBEE Controls for Local Printed or Wire Antenna",800,IF(H6="ZIGBEE Controls for Local Pairing Main Supply Antenna",1260,IF(H6="Product without limit associated","No limit associed","Choose Antena")))))))))))))))))))))</f>
        <v>500</v>
      </c>
      <c r="K16" s="271"/>
      <c r="L16" s="273" t="s">
        <v>31</v>
      </c>
      <c r="M16" s="273"/>
      <c r="N16" s="274">
        <f>IF(J16 = "Choose Antena","Choose Antena)",IF(J16 = "No limit associed","No limit associed)",IF(J16 = "Not defined for moment","Not defined for moment)",G16-75.01+$G$11-20*LOG(H7)+20*LOG($G$12)+$G$10)))</f>
        <v>-41.153587135535737</v>
      </c>
      <c r="O16" s="274"/>
      <c r="P16" s="274"/>
      <c r="Q16" s="274"/>
      <c r="R16" s="1"/>
      <c r="S16" s="136"/>
      <c r="T16" s="145"/>
      <c r="U16" s="145"/>
      <c r="V16" s="145"/>
      <c r="W16" s="163"/>
      <c r="X16" s="163"/>
      <c r="Y16" s="169" t="s">
        <v>86</v>
      </c>
      <c r="AC16" s="165"/>
      <c r="AD16" s="146"/>
      <c r="AE16" s="166"/>
      <c r="AF16" s="168"/>
      <c r="AG16" s="168"/>
      <c r="AH16" s="168"/>
      <c r="AI16" s="8"/>
    </row>
    <row r="17" spans="1:31" ht="12.75" customHeight="1" x14ac:dyDescent="0.2">
      <c r="A17" s="82"/>
      <c r="B17" s="82"/>
      <c r="C17" s="84"/>
      <c r="D17" s="84"/>
      <c r="E17" s="84"/>
      <c r="F17" s="84"/>
      <c r="G17" s="89"/>
      <c r="H17" s="89"/>
      <c r="I17" s="89"/>
      <c r="J17" s="272"/>
      <c r="K17" s="272"/>
      <c r="L17" s="89"/>
      <c r="M17" s="90"/>
      <c r="N17" s="90"/>
      <c r="O17" s="90"/>
      <c r="P17" s="82"/>
      <c r="Q17" s="76"/>
      <c r="R17" s="1"/>
      <c r="S17" s="136"/>
      <c r="T17" s="145"/>
      <c r="U17" s="145"/>
      <c r="V17" s="163"/>
      <c r="W17" s="163"/>
      <c r="X17" s="163"/>
      <c r="Y17" s="169" t="s">
        <v>87</v>
      </c>
      <c r="AC17" s="165"/>
      <c r="AD17" s="146"/>
      <c r="AE17" s="166"/>
    </row>
    <row r="18" spans="1:31" ht="12.75" customHeight="1" thickBot="1" x14ac:dyDescent="0.25">
      <c r="A18" s="82"/>
      <c r="B18" s="91" t="s">
        <v>40</v>
      </c>
      <c r="C18" s="82"/>
      <c r="D18" s="92"/>
      <c r="E18" s="92"/>
      <c r="F18" s="92"/>
      <c r="G18" s="92"/>
      <c r="H18" s="92"/>
      <c r="I18" s="93"/>
      <c r="J18" s="93"/>
      <c r="K18" s="93"/>
      <c r="L18" s="93"/>
      <c r="M18" s="93"/>
      <c r="N18" s="93"/>
      <c r="O18" s="93"/>
      <c r="P18" s="94"/>
      <c r="Q18" s="76"/>
      <c r="R18" s="1"/>
      <c r="S18" s="136"/>
      <c r="T18" s="145"/>
      <c r="U18" s="145"/>
      <c r="V18" s="145"/>
      <c r="W18" s="170"/>
      <c r="X18" s="145"/>
      <c r="Y18" s="160" t="s">
        <v>68</v>
      </c>
      <c r="Z18" s="145"/>
      <c r="AA18" s="147"/>
      <c r="AB18" s="147"/>
      <c r="AC18" s="165"/>
      <c r="AD18" s="146"/>
      <c r="AE18" s="166"/>
    </row>
    <row r="19" spans="1:31" ht="18" customHeight="1" thickBot="1" x14ac:dyDescent="0.25">
      <c r="A19" s="82"/>
      <c r="B19" s="95"/>
      <c r="C19" s="95"/>
      <c r="D19" s="96"/>
      <c r="E19" s="275" t="s">
        <v>43</v>
      </c>
      <c r="F19" s="276"/>
      <c r="G19" s="276"/>
      <c r="H19" s="277"/>
      <c r="I19" s="259" t="s">
        <v>50</v>
      </c>
      <c r="J19" s="257"/>
      <c r="K19" s="257"/>
      <c r="L19" s="257"/>
      <c r="M19" s="257"/>
      <c r="N19" s="257"/>
      <c r="O19" s="257"/>
      <c r="P19" s="261"/>
      <c r="Q19" s="76"/>
      <c r="R19" s="1"/>
      <c r="S19" s="136"/>
      <c r="T19" s="145"/>
      <c r="U19" s="145"/>
      <c r="V19" s="145"/>
      <c r="W19" s="170"/>
      <c r="X19" s="145"/>
      <c r="Y19" s="160" t="s">
        <v>69</v>
      </c>
      <c r="Z19" s="145"/>
      <c r="AA19" s="147"/>
      <c r="AB19" s="147"/>
      <c r="AC19" s="165"/>
      <c r="AD19" s="146"/>
      <c r="AE19" s="166"/>
    </row>
    <row r="20" spans="1:31" ht="17.25" customHeight="1" thickBot="1" x14ac:dyDescent="0.25">
      <c r="A20" s="82"/>
      <c r="B20" s="97"/>
      <c r="C20" s="95"/>
      <c r="D20" s="96"/>
      <c r="E20" s="257" t="s">
        <v>49</v>
      </c>
      <c r="F20" s="258"/>
      <c r="G20" s="259" t="s">
        <v>48</v>
      </c>
      <c r="H20" s="260"/>
      <c r="I20" s="259" t="s">
        <v>49</v>
      </c>
      <c r="J20" s="257"/>
      <c r="K20" s="257"/>
      <c r="L20" s="261"/>
      <c r="M20" s="262" t="s">
        <v>48</v>
      </c>
      <c r="N20" s="262"/>
      <c r="O20" s="262"/>
      <c r="P20" s="263"/>
      <c r="Q20" s="76"/>
      <c r="R20" s="1"/>
      <c r="S20" s="136"/>
      <c r="T20" s="145"/>
      <c r="U20" s="145"/>
      <c r="V20" s="145"/>
      <c r="W20" s="170"/>
      <c r="X20" s="145"/>
      <c r="Y20" s="164" t="s">
        <v>70</v>
      </c>
      <c r="Z20" s="145"/>
      <c r="AA20" s="145"/>
      <c r="AB20" s="145"/>
      <c r="AC20" s="171"/>
      <c r="AD20" s="146"/>
      <c r="AE20" s="166"/>
    </row>
    <row r="21" spans="1:31" ht="24" customHeight="1" thickBot="1" x14ac:dyDescent="0.25">
      <c r="A21" s="82"/>
      <c r="B21" s="259" t="s">
        <v>0</v>
      </c>
      <c r="C21" s="257"/>
      <c r="D21" s="261"/>
      <c r="E21" s="98" t="s">
        <v>29</v>
      </c>
      <c r="F21" s="99" t="s">
        <v>30</v>
      </c>
      <c r="G21" s="98" t="s">
        <v>29</v>
      </c>
      <c r="H21" s="99" t="s">
        <v>30</v>
      </c>
      <c r="I21" s="264" t="s">
        <v>46</v>
      </c>
      <c r="J21" s="259"/>
      <c r="K21" s="265" t="s">
        <v>47</v>
      </c>
      <c r="L21" s="263"/>
      <c r="M21" s="266" t="s">
        <v>46</v>
      </c>
      <c r="N21" s="267"/>
      <c r="O21" s="265" t="s">
        <v>47</v>
      </c>
      <c r="P21" s="263"/>
      <c r="Q21" s="76"/>
      <c r="R21" s="1"/>
      <c r="S21" s="136"/>
      <c r="T21" s="172"/>
      <c r="U21" s="172"/>
      <c r="V21" s="172"/>
      <c r="W21" s="173"/>
      <c r="X21" s="145"/>
      <c r="Y21" s="164" t="s">
        <v>71</v>
      </c>
      <c r="Z21" s="145"/>
      <c r="AA21" s="145"/>
      <c r="AB21" s="145"/>
      <c r="AC21" s="171"/>
      <c r="AD21" s="174"/>
      <c r="AE21" s="166"/>
    </row>
    <row r="22" spans="1:31" ht="12" customHeight="1" x14ac:dyDescent="0.2">
      <c r="B22" s="252">
        <v>0</v>
      </c>
      <c r="C22" s="253"/>
      <c r="D22" s="254"/>
      <c r="E22" s="111">
        <v>-10</v>
      </c>
      <c r="F22" s="121"/>
      <c r="G22" s="112"/>
      <c r="H22" s="115"/>
      <c r="I22" s="255">
        <f>E22-$G$10-20*LOG($G$12)+20*LOG(H7)-$G$11+75.01</f>
        <v>85.132987222256105</v>
      </c>
      <c r="J22" s="256"/>
      <c r="K22" s="244">
        <f>10^(I22/20)</f>
        <v>18057.15646070227</v>
      </c>
      <c r="L22" s="245"/>
      <c r="M22" s="255">
        <f>G22-$G$10-20*LOG($G$12)+20*LOG(H7)-$G$11+75.01</f>
        <v>95.132987222256119</v>
      </c>
      <c r="N22" s="256"/>
      <c r="O22" s="244">
        <f t="shared" ref="O22:O33" si="0">10^(M22/20)</f>
        <v>57101.742481844041</v>
      </c>
      <c r="P22" s="245"/>
      <c r="Q22" s="1"/>
      <c r="R22" s="1"/>
      <c r="S22" s="136"/>
      <c r="T22" s="175">
        <f>$G$16</f>
        <v>53.979400086720375</v>
      </c>
      <c r="U22" s="172"/>
      <c r="V22" s="172"/>
      <c r="W22" s="172"/>
      <c r="X22" s="145"/>
      <c r="Y22" s="160" t="s">
        <v>80</v>
      </c>
      <c r="Z22" s="172"/>
      <c r="AA22" s="172"/>
      <c r="AB22" s="172"/>
      <c r="AC22" s="143"/>
      <c r="AD22" s="174"/>
      <c r="AE22" s="166"/>
    </row>
    <row r="23" spans="1:31" ht="12" customHeight="1" x14ac:dyDescent="0.2">
      <c r="B23" s="246">
        <v>30</v>
      </c>
      <c r="C23" s="247"/>
      <c r="D23" s="248"/>
      <c r="E23" s="111">
        <v>120</v>
      </c>
      <c r="F23" s="122">
        <v>60</v>
      </c>
      <c r="G23" s="112">
        <v>0</v>
      </c>
      <c r="H23" s="116"/>
      <c r="I23" s="249">
        <f>E23-$G$10-20*LOG($G$12)+20*LOG(H7)-$G$11+75.01</f>
        <v>215.13298722225608</v>
      </c>
      <c r="J23" s="250"/>
      <c r="K23" s="228">
        <f t="shared" ref="K23:K33" si="1">10^(I23/20)</f>
        <v>57101742481.843811</v>
      </c>
      <c r="L23" s="229"/>
      <c r="M23" s="249">
        <f>G23-$G$10-20*LOG($G$12)+20*LOG(H7)-$G$11+75.01</f>
        <v>95.132987222256119</v>
      </c>
      <c r="N23" s="250"/>
      <c r="O23" s="228">
        <f t="shared" si="0"/>
        <v>57101.742481844041</v>
      </c>
      <c r="P23" s="229"/>
      <c r="Q23" s="1"/>
      <c r="R23" s="1"/>
      <c r="S23" s="136"/>
      <c r="T23" s="175">
        <f t="shared" ref="T23:T33" si="2">$G$16</f>
        <v>53.979400086720375</v>
      </c>
      <c r="U23" s="172"/>
      <c r="V23" s="172"/>
      <c r="W23" s="172"/>
      <c r="X23" s="145"/>
      <c r="Y23" s="160" t="s">
        <v>78</v>
      </c>
      <c r="Z23" s="145"/>
      <c r="AA23" s="145"/>
      <c r="AB23" s="145"/>
      <c r="AC23" s="171"/>
      <c r="AD23" s="174"/>
      <c r="AE23" s="166"/>
    </row>
    <row r="24" spans="1:31" ht="12" customHeight="1" x14ac:dyDescent="0.2">
      <c r="B24" s="246">
        <v>60</v>
      </c>
      <c r="C24" s="247"/>
      <c r="D24" s="248"/>
      <c r="E24" s="111" t="s">
        <v>52</v>
      </c>
      <c r="F24" s="122"/>
      <c r="G24" s="112" t="s">
        <v>52</v>
      </c>
      <c r="H24" s="116"/>
      <c r="I24" s="249" t="e">
        <f>E24-$G$10-20*LOG($G$12)+20*LOG(H7)-$G$11+75.01</f>
        <v>#VALUE!</v>
      </c>
      <c r="J24" s="250"/>
      <c r="K24" s="228" t="e">
        <f t="shared" si="1"/>
        <v>#VALUE!</v>
      </c>
      <c r="L24" s="229"/>
      <c r="M24" s="249" t="e">
        <f>G24-$G$10-20*LOG($G$12)+20*LOG(H7)-$G$11+75.01</f>
        <v>#VALUE!</v>
      </c>
      <c r="N24" s="250"/>
      <c r="O24" s="228" t="e">
        <f t="shared" si="0"/>
        <v>#VALUE!</v>
      </c>
      <c r="P24" s="229"/>
      <c r="Q24" s="1"/>
      <c r="R24" s="1"/>
      <c r="S24" s="136"/>
      <c r="T24" s="175">
        <f t="shared" si="2"/>
        <v>53.979400086720375</v>
      </c>
      <c r="U24" s="172"/>
      <c r="V24" s="172"/>
      <c r="W24" s="172"/>
      <c r="X24" s="145"/>
      <c r="Y24" s="160" t="s">
        <v>81</v>
      </c>
      <c r="AC24" s="143"/>
      <c r="AD24" s="174"/>
      <c r="AE24" s="166"/>
    </row>
    <row r="25" spans="1:31" ht="12" customHeight="1" x14ac:dyDescent="0.2">
      <c r="B25" s="246">
        <v>90</v>
      </c>
      <c r="C25" s="247"/>
      <c r="D25" s="248"/>
      <c r="E25" s="111" t="s">
        <v>52</v>
      </c>
      <c r="F25" s="122"/>
      <c r="G25" s="112" t="s">
        <v>52</v>
      </c>
      <c r="H25" s="116"/>
      <c r="I25" s="249" t="e">
        <f>E25-$G$10-20*LOG($G$12)+20*LOG(H7)-$G$11+75.01</f>
        <v>#VALUE!</v>
      </c>
      <c r="J25" s="250"/>
      <c r="K25" s="228" t="e">
        <f t="shared" si="1"/>
        <v>#VALUE!</v>
      </c>
      <c r="L25" s="229"/>
      <c r="M25" s="249" t="e">
        <f>G25-$G$10-20*LOG($G$12)+20*LOG(H7)-$G$11+75.01</f>
        <v>#VALUE!</v>
      </c>
      <c r="N25" s="250"/>
      <c r="O25" s="228" t="e">
        <f t="shared" si="0"/>
        <v>#VALUE!</v>
      </c>
      <c r="P25" s="229"/>
      <c r="Q25" s="1"/>
      <c r="R25" s="1"/>
      <c r="S25" s="136"/>
      <c r="T25" s="175">
        <f t="shared" si="2"/>
        <v>53.979400086720375</v>
      </c>
      <c r="U25" s="316"/>
      <c r="V25" s="316"/>
      <c r="W25" s="172"/>
      <c r="X25" s="145"/>
      <c r="Y25" s="160" t="s">
        <v>82</v>
      </c>
      <c r="Z25" s="172"/>
      <c r="AA25" s="172"/>
      <c r="AB25" s="172"/>
      <c r="AC25" s="143"/>
      <c r="AD25" s="174"/>
      <c r="AE25" s="166"/>
    </row>
    <row r="26" spans="1:31" ht="12" customHeight="1" x14ac:dyDescent="0.2">
      <c r="B26" s="246">
        <v>120</v>
      </c>
      <c r="C26" s="247"/>
      <c r="D26" s="248"/>
      <c r="E26" s="111" t="s">
        <v>52</v>
      </c>
      <c r="F26" s="122"/>
      <c r="G26" s="112" t="s">
        <v>52</v>
      </c>
      <c r="H26" s="116"/>
      <c r="I26" s="249" t="e">
        <f>E26-$G$10-20*LOG($G$12)+20*LOG(H7)-$G$11+75.01</f>
        <v>#VALUE!</v>
      </c>
      <c r="J26" s="250"/>
      <c r="K26" s="228" t="e">
        <f t="shared" si="1"/>
        <v>#VALUE!</v>
      </c>
      <c r="L26" s="229"/>
      <c r="M26" s="249" t="e">
        <f>G26-$G$10-20*LOG($G$12)+20*LOG(H7)-$G$11+75.01</f>
        <v>#VALUE!</v>
      </c>
      <c r="N26" s="250"/>
      <c r="O26" s="228" t="e">
        <f t="shared" si="0"/>
        <v>#VALUE!</v>
      </c>
      <c r="P26" s="229"/>
      <c r="Q26" s="1"/>
      <c r="R26" s="1"/>
      <c r="S26" s="136"/>
      <c r="T26" s="175">
        <f t="shared" si="2"/>
        <v>53.979400086720375</v>
      </c>
      <c r="U26" s="172"/>
      <c r="V26" s="172"/>
      <c r="W26" s="172"/>
      <c r="X26" s="145"/>
      <c r="Y26" s="160" t="s">
        <v>83</v>
      </c>
      <c r="AC26" s="143"/>
      <c r="AD26" s="174"/>
      <c r="AE26" s="166"/>
    </row>
    <row r="27" spans="1:31" ht="12" customHeight="1" x14ac:dyDescent="0.2">
      <c r="B27" s="246">
        <v>150</v>
      </c>
      <c r="C27" s="247"/>
      <c r="D27" s="248"/>
      <c r="E27" s="111" t="s">
        <v>52</v>
      </c>
      <c r="F27" s="122"/>
      <c r="G27" s="112" t="s">
        <v>52</v>
      </c>
      <c r="H27" s="116"/>
      <c r="I27" s="249" t="e">
        <f>E27-$G$10-20*LOG($G$12)+20*LOG(H7)-$G$11+75.01</f>
        <v>#VALUE!</v>
      </c>
      <c r="J27" s="250"/>
      <c r="K27" s="228" t="e">
        <f t="shared" si="1"/>
        <v>#VALUE!</v>
      </c>
      <c r="L27" s="229"/>
      <c r="M27" s="249" t="e">
        <f>G27-$G$10-20*LOG($G$12)+20*LOG(H7)-$G$11+75.01</f>
        <v>#VALUE!</v>
      </c>
      <c r="N27" s="250"/>
      <c r="O27" s="228" t="e">
        <f t="shared" si="0"/>
        <v>#VALUE!</v>
      </c>
      <c r="P27" s="229"/>
      <c r="Q27" s="1"/>
      <c r="R27" s="1"/>
      <c r="S27" s="136"/>
      <c r="T27" s="175">
        <f t="shared" si="2"/>
        <v>53.979400086720375</v>
      </c>
      <c r="U27" s="172"/>
      <c r="V27" s="172"/>
      <c r="W27" s="172"/>
      <c r="X27" s="145"/>
      <c r="Y27" s="160" t="s">
        <v>79</v>
      </c>
      <c r="AC27" s="143"/>
      <c r="AD27" s="174"/>
      <c r="AE27" s="166"/>
    </row>
    <row r="28" spans="1:31" ht="12" customHeight="1" x14ac:dyDescent="0.2">
      <c r="B28" s="246">
        <v>180</v>
      </c>
      <c r="C28" s="247"/>
      <c r="D28" s="248"/>
      <c r="E28" s="111" t="s">
        <v>52</v>
      </c>
      <c r="F28" s="122"/>
      <c r="G28" s="112" t="s">
        <v>52</v>
      </c>
      <c r="H28" s="116"/>
      <c r="I28" s="249" t="e">
        <f>E28-$G$10-20*LOG($G$12)+20*LOG(H7)-$G$11+75.01</f>
        <v>#VALUE!</v>
      </c>
      <c r="J28" s="250"/>
      <c r="K28" s="228" t="e">
        <f t="shared" si="1"/>
        <v>#VALUE!</v>
      </c>
      <c r="L28" s="229"/>
      <c r="M28" s="249" t="e">
        <f>G28-$G$10-20*LOG($G$12)+20*LOG(H7)-$G$11+75.01</f>
        <v>#VALUE!</v>
      </c>
      <c r="N28" s="250"/>
      <c r="O28" s="228" t="e">
        <f t="shared" si="0"/>
        <v>#VALUE!</v>
      </c>
      <c r="P28" s="229"/>
      <c r="Q28" s="1"/>
      <c r="R28" s="1"/>
      <c r="S28" s="136"/>
      <c r="T28" s="175">
        <f t="shared" si="2"/>
        <v>53.979400086720375</v>
      </c>
      <c r="U28" s="172"/>
      <c r="V28" s="172"/>
      <c r="W28" s="172"/>
      <c r="X28" s="145"/>
      <c r="Y28" s="160" t="s">
        <v>74</v>
      </c>
      <c r="Z28" s="145"/>
      <c r="AA28" s="145"/>
      <c r="AB28" s="145"/>
      <c r="AC28" s="171"/>
      <c r="AD28" s="174"/>
      <c r="AE28" s="166"/>
    </row>
    <row r="29" spans="1:31" ht="12" customHeight="1" x14ac:dyDescent="0.2">
      <c r="B29" s="246">
        <v>210</v>
      </c>
      <c r="C29" s="247"/>
      <c r="D29" s="248"/>
      <c r="E29" s="111" t="s">
        <v>52</v>
      </c>
      <c r="F29" s="122"/>
      <c r="G29" s="112" t="s">
        <v>52</v>
      </c>
      <c r="H29" s="116"/>
      <c r="I29" s="249" t="e">
        <f>E29-$G$10-20*LOG($G$12)+20*LOG(H7)-$G$11+75.01</f>
        <v>#VALUE!</v>
      </c>
      <c r="J29" s="250"/>
      <c r="K29" s="228" t="e">
        <f t="shared" si="1"/>
        <v>#VALUE!</v>
      </c>
      <c r="L29" s="229"/>
      <c r="M29" s="249" t="e">
        <f>G29-$G$10-20*LOG($G$12)+20*LOG(H7)-$G$11+75.01</f>
        <v>#VALUE!</v>
      </c>
      <c r="N29" s="250"/>
      <c r="O29" s="228" t="e">
        <f t="shared" si="0"/>
        <v>#VALUE!</v>
      </c>
      <c r="P29" s="229"/>
      <c r="Q29" s="1"/>
      <c r="R29" s="1"/>
      <c r="S29" s="136"/>
      <c r="T29" s="175">
        <f t="shared" si="2"/>
        <v>53.979400086720375</v>
      </c>
      <c r="U29" s="172"/>
      <c r="V29" s="172"/>
      <c r="W29" s="172"/>
      <c r="X29" s="172"/>
      <c r="Y29" s="160" t="s">
        <v>75</v>
      </c>
      <c r="Z29" s="172"/>
      <c r="AA29" s="172"/>
      <c r="AB29" s="172"/>
      <c r="AC29" s="143"/>
      <c r="AD29" s="174"/>
      <c r="AE29" s="166"/>
    </row>
    <row r="30" spans="1:31" ht="12" customHeight="1" x14ac:dyDescent="0.2">
      <c r="B30" s="246">
        <v>240</v>
      </c>
      <c r="C30" s="247"/>
      <c r="D30" s="248"/>
      <c r="E30" s="111" t="s">
        <v>52</v>
      </c>
      <c r="F30" s="122"/>
      <c r="G30" s="112" t="s">
        <v>52</v>
      </c>
      <c r="H30" s="116"/>
      <c r="I30" s="249" t="e">
        <f>E30-$G$10-20*LOG($G$12)+20*LOG(H7)-$G$11+75.01</f>
        <v>#VALUE!</v>
      </c>
      <c r="J30" s="250"/>
      <c r="K30" s="228" t="e">
        <f t="shared" si="1"/>
        <v>#VALUE!</v>
      </c>
      <c r="L30" s="229"/>
      <c r="M30" s="249" t="e">
        <f>G30-$G$10-20*LOG($G$12)+20*LOG(H7)-$G$11+75.01</f>
        <v>#VALUE!</v>
      </c>
      <c r="N30" s="250"/>
      <c r="O30" s="228" t="e">
        <f t="shared" si="0"/>
        <v>#VALUE!</v>
      </c>
      <c r="P30" s="229"/>
      <c r="Q30" s="1"/>
      <c r="R30" s="1"/>
      <c r="S30" s="136"/>
      <c r="T30" s="175">
        <f t="shared" si="2"/>
        <v>53.979400086720375</v>
      </c>
      <c r="U30" s="172"/>
      <c r="V30" s="172"/>
      <c r="W30" s="172"/>
      <c r="X30" s="172"/>
      <c r="Y30" s="160" t="s">
        <v>76</v>
      </c>
      <c r="Z30" s="172"/>
      <c r="AA30" s="172"/>
      <c r="AB30" s="172"/>
      <c r="AC30" s="143"/>
      <c r="AD30" s="174"/>
      <c r="AE30" s="166"/>
    </row>
    <row r="31" spans="1:31" ht="12" customHeight="1" x14ac:dyDescent="0.2">
      <c r="B31" s="246">
        <v>270</v>
      </c>
      <c r="C31" s="247"/>
      <c r="D31" s="248"/>
      <c r="E31" s="111" t="s">
        <v>52</v>
      </c>
      <c r="F31" s="122"/>
      <c r="G31" s="113" t="s">
        <v>52</v>
      </c>
      <c r="H31" s="116"/>
      <c r="I31" s="249" t="e">
        <f>E31-$G$10-20*LOG($G$12)+20*LOG(H7)-$G$11+75.01</f>
        <v>#VALUE!</v>
      </c>
      <c r="J31" s="250"/>
      <c r="K31" s="228" t="e">
        <f t="shared" si="1"/>
        <v>#VALUE!</v>
      </c>
      <c r="L31" s="229"/>
      <c r="M31" s="249" t="e">
        <f>G31-$G$10-20*LOG($G$12)+20*LOG(H7)-$G$11+75.01</f>
        <v>#VALUE!</v>
      </c>
      <c r="N31" s="250"/>
      <c r="O31" s="228" t="e">
        <f t="shared" si="0"/>
        <v>#VALUE!</v>
      </c>
      <c r="P31" s="229"/>
      <c r="Q31" s="1"/>
      <c r="R31" s="1"/>
      <c r="S31" s="136"/>
      <c r="T31" s="175">
        <f t="shared" si="2"/>
        <v>53.979400086720375</v>
      </c>
      <c r="U31" s="176"/>
      <c r="V31" s="172"/>
      <c r="W31" s="172"/>
      <c r="X31" s="172"/>
      <c r="Y31" s="160" t="s">
        <v>77</v>
      </c>
      <c r="Z31" s="172"/>
      <c r="AA31" s="172"/>
      <c r="AB31" s="172"/>
      <c r="AC31" s="143"/>
      <c r="AD31" s="174"/>
      <c r="AE31" s="166"/>
    </row>
    <row r="32" spans="1:31" ht="12" customHeight="1" x14ac:dyDescent="0.2">
      <c r="B32" s="246">
        <v>300</v>
      </c>
      <c r="C32" s="247"/>
      <c r="D32" s="248"/>
      <c r="E32" s="111" t="s">
        <v>52</v>
      </c>
      <c r="F32" s="122"/>
      <c r="G32" s="113" t="s">
        <v>52</v>
      </c>
      <c r="H32" s="116"/>
      <c r="I32" s="249" t="e">
        <f>E32-$G$10-20*LOG($G$12)+20*LOG(H7)-$G$11+75.01</f>
        <v>#VALUE!</v>
      </c>
      <c r="J32" s="250"/>
      <c r="K32" s="228" t="e">
        <f t="shared" si="1"/>
        <v>#VALUE!</v>
      </c>
      <c r="L32" s="229"/>
      <c r="M32" s="249" t="e">
        <f>G32-$G$10-20*LOG($G$12)+20*LOG(H7)-$G$11+75.01</f>
        <v>#VALUE!</v>
      </c>
      <c r="N32" s="250"/>
      <c r="O32" s="228" t="e">
        <f t="shared" si="0"/>
        <v>#VALUE!</v>
      </c>
      <c r="P32" s="229"/>
      <c r="Q32" s="1"/>
      <c r="R32" s="1"/>
      <c r="S32" s="136"/>
      <c r="T32" s="175">
        <f t="shared" si="2"/>
        <v>53.979400086720375</v>
      </c>
      <c r="U32" s="176"/>
      <c r="V32" s="172"/>
      <c r="W32" s="172"/>
      <c r="X32" s="172"/>
      <c r="Y32" s="177" t="s">
        <v>59</v>
      </c>
      <c r="Z32" s="178"/>
      <c r="AA32" s="178"/>
      <c r="AB32" s="178"/>
      <c r="AC32" s="179"/>
      <c r="AD32" s="180"/>
      <c r="AE32" s="166"/>
    </row>
    <row r="33" spans="2:35" ht="12" customHeight="1" thickBot="1" x14ac:dyDescent="0.25">
      <c r="B33" s="231">
        <v>330</v>
      </c>
      <c r="C33" s="232"/>
      <c r="D33" s="233"/>
      <c r="E33" s="114" t="s">
        <v>52</v>
      </c>
      <c r="F33" s="123"/>
      <c r="G33" s="113" t="s">
        <v>52</v>
      </c>
      <c r="H33" s="117"/>
      <c r="I33" s="234" t="e">
        <f>E33-$G$10-20*LOG($G$12)+20*LOG(H7)-$G$11+75.01</f>
        <v>#VALUE!</v>
      </c>
      <c r="J33" s="235"/>
      <c r="K33" s="236" t="e">
        <f t="shared" si="1"/>
        <v>#VALUE!</v>
      </c>
      <c r="L33" s="237"/>
      <c r="M33" s="238" t="e">
        <f>G33-$G$10-20*LOG($G$12)+20*LOG(H7)-$G$11+75.01</f>
        <v>#VALUE!</v>
      </c>
      <c r="N33" s="239"/>
      <c r="O33" s="236" t="e">
        <f t="shared" si="0"/>
        <v>#VALUE!</v>
      </c>
      <c r="P33" s="237"/>
      <c r="Q33" s="1"/>
      <c r="R33" s="1"/>
      <c r="S33" s="136"/>
      <c r="T33" s="175">
        <f t="shared" si="2"/>
        <v>53.979400086720375</v>
      </c>
      <c r="U33" s="176"/>
      <c r="V33" s="172"/>
      <c r="W33" s="172"/>
      <c r="X33" s="172"/>
      <c r="Y33" s="172"/>
      <c r="Z33" s="174"/>
      <c r="AA33" s="180"/>
      <c r="AB33" s="180"/>
      <c r="AC33" s="180"/>
      <c r="AD33" s="180"/>
      <c r="AE33" s="166"/>
      <c r="AF33" s="168"/>
      <c r="AG33" s="168"/>
      <c r="AH33" s="168"/>
      <c r="AI33" s="8"/>
    </row>
    <row r="34" spans="2:35" ht="35.25" customHeight="1" x14ac:dyDescent="0.2">
      <c r="B34" s="240" t="s">
        <v>39</v>
      </c>
      <c r="C34" s="241"/>
      <c r="D34" s="241"/>
      <c r="E34" s="32">
        <v>92.5</v>
      </c>
      <c r="F34" s="124">
        <v>47.5</v>
      </c>
      <c r="G34" s="37">
        <v>74.17</v>
      </c>
      <c r="H34" s="118">
        <v>37.5</v>
      </c>
      <c r="I34" s="242">
        <f>E34-$G$10-20*LOG($G$12)+20*LOG(H7)-$G$11+75.01</f>
        <v>187.63298722225611</v>
      </c>
      <c r="J34" s="243"/>
      <c r="K34" s="244">
        <f>10^(I34/20)</f>
        <v>2407960514.4272928</v>
      </c>
      <c r="L34" s="245"/>
      <c r="M34" s="242">
        <f>G34-$G$10-20*LOG($G$12)+20*LOG(H7)-$G$11+75.01</f>
        <v>169.30298722225609</v>
      </c>
      <c r="N34" s="243"/>
      <c r="O34" s="244">
        <f>10^(M34/20)</f>
        <v>291843053.83445776</v>
      </c>
      <c r="P34" s="245"/>
      <c r="Q34" s="1"/>
      <c r="R34" s="1"/>
      <c r="S34" s="181"/>
      <c r="T34" s="182"/>
      <c r="U34" s="183"/>
      <c r="V34" s="178"/>
      <c r="W34" s="178"/>
      <c r="X34" s="178"/>
      <c r="Y34" s="178"/>
      <c r="Z34" s="184"/>
      <c r="AA34" s="185"/>
      <c r="AB34" s="185"/>
      <c r="AC34" s="185"/>
      <c r="AD34" s="185"/>
      <c r="AE34" s="186"/>
      <c r="AF34" s="168"/>
      <c r="AG34" s="168"/>
      <c r="AH34" s="168"/>
      <c r="AI34" s="8"/>
    </row>
    <row r="35" spans="2:35" ht="25.5" customHeight="1" x14ac:dyDescent="0.2">
      <c r="B35" s="224" t="s">
        <v>23</v>
      </c>
      <c r="C35" s="225"/>
      <c r="D35" s="225"/>
      <c r="E35" s="34">
        <v>-10</v>
      </c>
      <c r="F35" s="125">
        <f>MAX($F$22:$F$33)</f>
        <v>60</v>
      </c>
      <c r="G35" s="33">
        <f>MAX($G$22:$G$33)</f>
        <v>0</v>
      </c>
      <c r="H35" s="119">
        <f>MAX($H$22:$H$33)</f>
        <v>0</v>
      </c>
      <c r="I35" s="226">
        <f>E35-$G$10-20*LOG($G$12)+20*LOG(H7)-$G$11+75.01</f>
        <v>85.132987222256105</v>
      </c>
      <c r="J35" s="227"/>
      <c r="K35" s="228">
        <f>10^(I35/20)</f>
        <v>18057.15646070227</v>
      </c>
      <c r="L35" s="229"/>
      <c r="M35" s="226">
        <f>G35-$G$10-20*LOG($G$12)+20*LOG(H7)-$G$11+75.01</f>
        <v>95.132987222256119</v>
      </c>
      <c r="N35" s="227"/>
      <c r="O35" s="228">
        <f>10^(M35/20)</f>
        <v>57101.742481844041</v>
      </c>
      <c r="P35" s="229"/>
      <c r="Q35" s="1"/>
      <c r="R35" s="1"/>
      <c r="S35" s="315"/>
      <c r="T35" s="315"/>
      <c r="U35" s="315"/>
      <c r="V35" s="315"/>
      <c r="W35" s="315"/>
      <c r="X35" s="315"/>
      <c r="Z35" s="187"/>
      <c r="AA35" s="167"/>
      <c r="AB35" s="167"/>
      <c r="AC35" s="167"/>
      <c r="AD35" s="167"/>
      <c r="AF35" s="168"/>
      <c r="AG35" s="168"/>
      <c r="AH35" s="168"/>
      <c r="AI35" s="8"/>
    </row>
    <row r="36" spans="2:35" ht="25.5" customHeight="1" thickBot="1" x14ac:dyDescent="0.25">
      <c r="B36" s="217" t="s">
        <v>24</v>
      </c>
      <c r="C36" s="218"/>
      <c r="D36" s="218"/>
      <c r="E36" s="36">
        <f>MIN($E$22:$E$33)</f>
        <v>-10</v>
      </c>
      <c r="F36" s="126">
        <f>MIN($F$22:$F$33)</f>
        <v>60</v>
      </c>
      <c r="G36" s="35">
        <f>MIN($G$22:$G$33)</f>
        <v>0</v>
      </c>
      <c r="H36" s="120">
        <f>MIN($H$22:$H$33)</f>
        <v>0</v>
      </c>
      <c r="I36" s="219">
        <f>E36-$G$10-20*LOG($G$12)+20*LOG(H7)-$G$11+75.01</f>
        <v>85.132987222256105</v>
      </c>
      <c r="J36" s="220"/>
      <c r="K36" s="221">
        <f>10^(I36/20)</f>
        <v>18057.15646070227</v>
      </c>
      <c r="L36" s="222"/>
      <c r="M36" s="219">
        <f>G36-$G$10-20*LOG($G$12)+20*LOG(H7)-$G$11+75.01</f>
        <v>95.132987222256119</v>
      </c>
      <c r="N36" s="220"/>
      <c r="O36" s="221">
        <f>10^(M36/20)</f>
        <v>57101.742481844041</v>
      </c>
      <c r="P36" s="222"/>
      <c r="Q36" s="1"/>
      <c r="R36" s="1"/>
      <c r="S36" s="172"/>
      <c r="T36" s="314" t="s">
        <v>62</v>
      </c>
      <c r="U36" s="314"/>
      <c r="V36" s="314"/>
      <c r="W36" s="312" t="s">
        <v>61</v>
      </c>
      <c r="X36" s="312"/>
      <c r="Y36" s="312"/>
      <c r="Z36" s="312"/>
      <c r="AA36" s="312"/>
      <c r="AB36" s="312"/>
      <c r="AC36" s="312"/>
      <c r="AD36" s="312"/>
      <c r="AI36" s="8"/>
    </row>
    <row r="37" spans="2:35" ht="12.75" customHeight="1" x14ac:dyDescent="0.2">
      <c r="B37" s="13" t="s">
        <v>35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"/>
      <c r="R37" s="1"/>
      <c r="S37" s="172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8"/>
    </row>
    <row r="38" spans="2:35" ht="12.75" customHeight="1" x14ac:dyDescent="0.2">
      <c r="B38" s="29" t="s">
        <v>36</v>
      </c>
      <c r="C38" s="9"/>
      <c r="D38" s="9"/>
      <c r="E38" s="9"/>
      <c r="F38" s="9"/>
      <c r="G38" s="9"/>
      <c r="H38" s="9"/>
      <c r="I38" s="30"/>
      <c r="J38" s="29" t="s">
        <v>37</v>
      </c>
      <c r="K38" s="1"/>
      <c r="L38" s="9"/>
      <c r="M38" s="9"/>
      <c r="N38" s="1"/>
      <c r="O38" s="1"/>
      <c r="P38" s="1"/>
      <c r="Q38" s="1"/>
      <c r="V38" s="167"/>
      <c r="W38" s="167"/>
      <c r="X38" s="167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8"/>
    </row>
    <row r="39" spans="2:35" ht="12.75" customHeight="1" thickBot="1" x14ac:dyDescent="0.25">
      <c r="C39" s="9"/>
      <c r="D39" s="9"/>
      <c r="E39" s="9"/>
      <c r="F39" s="9"/>
      <c r="G39" s="9"/>
      <c r="H39" s="9"/>
      <c r="I39" s="30"/>
      <c r="J39" s="9"/>
      <c r="K39" s="1"/>
      <c r="L39" s="1"/>
      <c r="M39" s="9"/>
      <c r="N39" s="9"/>
      <c r="O39" s="1"/>
      <c r="P39" s="1"/>
      <c r="Q39" s="1"/>
      <c r="R39" s="1"/>
      <c r="V39" s="167"/>
      <c r="W39" s="167"/>
      <c r="X39" s="167"/>
      <c r="Y39" s="167"/>
      <c r="Z39" s="168"/>
      <c r="AA39" s="168"/>
      <c r="AB39" s="168"/>
      <c r="AC39" s="168"/>
      <c r="AD39" s="168"/>
      <c r="AE39" s="168"/>
      <c r="AF39" s="168"/>
      <c r="AG39" s="168"/>
      <c r="AH39" s="168"/>
      <c r="AI39" s="8"/>
    </row>
    <row r="40" spans="2:35" ht="12.75" customHeight="1" thickBot="1" x14ac:dyDescent="0.25">
      <c r="C40" s="9"/>
      <c r="D40" s="9"/>
      <c r="E40" s="9"/>
      <c r="F40" s="9"/>
      <c r="G40" s="9"/>
      <c r="H40" s="9"/>
      <c r="I40" s="30"/>
      <c r="J40" s="9"/>
      <c r="K40" s="197" t="s">
        <v>19</v>
      </c>
      <c r="L40" s="198"/>
      <c r="M40" s="199" t="s">
        <v>16</v>
      </c>
      <c r="N40" s="200"/>
      <c r="O40" s="199" t="s">
        <v>25</v>
      </c>
      <c r="P40" s="201"/>
      <c r="Q40" s="1"/>
      <c r="R40" s="1"/>
      <c r="X40" s="187"/>
      <c r="Y40" s="167"/>
      <c r="Z40" s="168"/>
      <c r="AA40" s="168"/>
      <c r="AB40" s="168"/>
      <c r="AC40" s="168"/>
      <c r="AD40" s="168"/>
      <c r="AE40" s="168"/>
      <c r="AF40" s="168"/>
      <c r="AG40" s="168"/>
      <c r="AH40" s="168"/>
      <c r="AI40" s="8"/>
    </row>
    <row r="41" spans="2:35" ht="12.75" customHeight="1" x14ac:dyDescent="0.2">
      <c r="C41" s="9"/>
      <c r="D41" s="9"/>
      <c r="E41" s="9"/>
      <c r="F41" s="9"/>
      <c r="G41" s="9"/>
      <c r="H41" s="9"/>
      <c r="I41" s="30"/>
      <c r="J41" s="9"/>
      <c r="K41" s="202"/>
      <c r="L41" s="203"/>
      <c r="M41" s="208" t="s">
        <v>17</v>
      </c>
      <c r="N41" s="209"/>
      <c r="O41" s="210" t="str" cm="1">
        <f t="array" ref="O41">IF(OR(E22:E33="Enter value",G22:G33="Enter value"),"Enter value",MIN(E22:E33,G22:G33))</f>
        <v>Enter value</v>
      </c>
      <c r="P41" s="211"/>
      <c r="Q41" s="9"/>
      <c r="R41" s="9"/>
      <c r="S41" s="168"/>
      <c r="X41" s="187"/>
      <c r="Y41" s="167"/>
      <c r="Z41" s="167"/>
      <c r="AA41" s="167"/>
      <c r="AB41" s="167"/>
      <c r="AC41" s="167"/>
      <c r="AD41" s="168"/>
      <c r="AE41" s="168"/>
      <c r="AF41" s="168"/>
      <c r="AG41" s="168"/>
      <c r="AH41" s="168"/>
      <c r="AI41" s="8"/>
    </row>
    <row r="42" spans="2:35" ht="12.75" customHeight="1" thickBot="1" x14ac:dyDescent="0.25">
      <c r="C42" s="9"/>
      <c r="D42" s="9"/>
      <c r="E42" s="9"/>
      <c r="F42" s="9"/>
      <c r="G42" s="9"/>
      <c r="H42" s="9"/>
      <c r="I42" s="30"/>
      <c r="J42" s="9"/>
      <c r="K42" s="204"/>
      <c r="L42" s="205"/>
      <c r="M42" s="212" t="s">
        <v>18</v>
      </c>
      <c r="N42" s="213"/>
      <c r="O42" s="214" t="s">
        <v>52</v>
      </c>
      <c r="P42" s="215"/>
      <c r="Q42" s="1"/>
      <c r="R42" s="1"/>
      <c r="U42" s="313" t="s">
        <v>55</v>
      </c>
      <c r="V42" s="313"/>
      <c r="W42" s="313"/>
      <c r="X42" s="313"/>
      <c r="Y42" s="313"/>
      <c r="Z42" s="313"/>
      <c r="AA42" s="313"/>
      <c r="AB42" s="188"/>
      <c r="AC42" s="188"/>
      <c r="AD42" s="189"/>
      <c r="AE42" s="189"/>
      <c r="AF42" s="189"/>
      <c r="AG42" s="189"/>
      <c r="AH42" s="168"/>
      <c r="AI42" s="8"/>
    </row>
    <row r="43" spans="2:35" ht="12.75" customHeight="1" thickBot="1" x14ac:dyDescent="0.25">
      <c r="C43" s="9"/>
      <c r="D43" s="9"/>
      <c r="E43" s="9"/>
      <c r="F43" s="9"/>
      <c r="G43" s="9"/>
      <c r="H43" s="9"/>
      <c r="I43" s="30"/>
      <c r="J43" s="9"/>
      <c r="K43" s="206"/>
      <c r="L43" s="207"/>
      <c r="M43" s="190" t="s">
        <v>51</v>
      </c>
      <c r="N43" s="191"/>
      <c r="O43" s="192" t="str">
        <f>IF(OR(O41="Enter value",O42="Enter value"),"",ABS(O42-O41))</f>
        <v/>
      </c>
      <c r="P43" s="193"/>
      <c r="Q43" s="9"/>
      <c r="R43" s="9"/>
      <c r="S43" s="168"/>
      <c r="T43" s="168"/>
      <c r="U43" s="168"/>
      <c r="V43" s="310" t="s">
        <v>56</v>
      </c>
      <c r="W43" s="310"/>
      <c r="X43" s="310"/>
      <c r="Y43" s="310"/>
      <c r="Z43" s="310"/>
      <c r="AA43" s="310"/>
      <c r="AB43" s="310"/>
      <c r="AC43" s="310"/>
      <c r="AD43" s="310"/>
      <c r="AE43" s="310"/>
      <c r="AF43" s="310"/>
      <c r="AG43" s="189"/>
      <c r="AH43" s="168"/>
      <c r="AI43" s="8"/>
    </row>
    <row r="44" spans="2:35" ht="12.75" customHeight="1" x14ac:dyDescent="0.2">
      <c r="C44" s="9"/>
      <c r="D44" s="9"/>
      <c r="E44" s="9"/>
      <c r="F44" s="9"/>
      <c r="G44" s="9"/>
      <c r="H44" s="9"/>
      <c r="I44" s="30"/>
      <c r="J44" s="9"/>
      <c r="K44" s="9"/>
      <c r="L44" s="9"/>
      <c r="M44" s="9"/>
      <c r="N44" s="9"/>
      <c r="O44" s="9"/>
      <c r="P44" s="9"/>
      <c r="Q44" s="9"/>
      <c r="R44" s="9"/>
      <c r="S44" s="168"/>
      <c r="T44" s="168"/>
      <c r="U44" s="168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68"/>
      <c r="AI44" s="8"/>
    </row>
    <row r="45" spans="2:35" ht="12.75" customHeight="1" x14ac:dyDescent="0.2">
      <c r="C45" s="9"/>
      <c r="D45" s="9"/>
      <c r="E45" s="9"/>
      <c r="F45" s="9"/>
      <c r="G45" s="9"/>
      <c r="H45" s="9"/>
      <c r="I45" s="30"/>
      <c r="J45" s="9"/>
      <c r="K45" s="9"/>
      <c r="L45" s="9"/>
      <c r="M45" s="9"/>
      <c r="N45" s="9"/>
      <c r="O45" s="9"/>
      <c r="P45" s="9"/>
      <c r="Q45" s="1"/>
      <c r="R45" s="1"/>
      <c r="U45" s="187"/>
      <c r="V45" s="311" t="s">
        <v>54</v>
      </c>
      <c r="W45" s="311"/>
      <c r="X45" s="311"/>
      <c r="Y45" s="311"/>
      <c r="Z45" s="311"/>
      <c r="AA45" s="311"/>
      <c r="AB45" s="311"/>
      <c r="AC45" s="311"/>
      <c r="AD45" s="311"/>
      <c r="AE45" s="311"/>
      <c r="AF45" s="311"/>
      <c r="AG45" s="189"/>
      <c r="AH45" s="168"/>
      <c r="AI45" s="8"/>
    </row>
    <row r="46" spans="2:35" ht="15" customHeight="1" x14ac:dyDescent="0.2">
      <c r="C46" s="9"/>
      <c r="D46" s="9"/>
      <c r="E46" s="9"/>
      <c r="F46" s="9"/>
      <c r="G46" s="9"/>
      <c r="H46" s="9"/>
      <c r="I46" s="30"/>
      <c r="J46" s="9"/>
      <c r="K46" s="9"/>
      <c r="L46" s="9"/>
      <c r="M46" s="9"/>
      <c r="N46" s="9"/>
      <c r="O46" s="9"/>
      <c r="P46" s="9"/>
      <c r="Q46" s="1"/>
      <c r="R46" s="1"/>
      <c r="U46" s="187"/>
      <c r="V46" s="188"/>
      <c r="W46" s="311" t="s">
        <v>57</v>
      </c>
      <c r="X46" s="311"/>
      <c r="Y46" s="311"/>
      <c r="Z46" s="311"/>
      <c r="AA46" s="311"/>
      <c r="AB46" s="311"/>
      <c r="AC46" s="311"/>
      <c r="AD46" s="311"/>
      <c r="AE46" s="311"/>
      <c r="AF46" s="311"/>
      <c r="AG46" s="189"/>
      <c r="AH46" s="168"/>
      <c r="AI46" s="8"/>
    </row>
    <row r="47" spans="2:35" ht="15" customHeight="1" x14ac:dyDescent="0.2">
      <c r="C47" s="9"/>
      <c r="D47" s="9"/>
      <c r="E47" s="9"/>
      <c r="F47" s="9"/>
      <c r="G47" s="9"/>
      <c r="H47" s="9"/>
      <c r="I47" s="30"/>
      <c r="J47" s="9"/>
      <c r="K47" s="9"/>
      <c r="L47" s="9"/>
      <c r="M47" s="9"/>
      <c r="N47" s="9"/>
      <c r="O47" s="9"/>
      <c r="P47" s="9"/>
      <c r="Q47" s="1"/>
      <c r="R47" s="1"/>
      <c r="U47" s="187"/>
      <c r="V47" s="188"/>
      <c r="W47" s="311" t="s">
        <v>58</v>
      </c>
      <c r="X47" s="311"/>
      <c r="Y47" s="311"/>
      <c r="Z47" s="311"/>
      <c r="AA47" s="311"/>
      <c r="AB47" s="311"/>
      <c r="AC47" s="311"/>
      <c r="AD47" s="311"/>
      <c r="AE47" s="311"/>
      <c r="AF47" s="311"/>
      <c r="AG47" s="311"/>
      <c r="AH47" s="168"/>
      <c r="AI47" s="8"/>
    </row>
    <row r="48" spans="2:35" ht="15" customHeight="1" x14ac:dyDescent="0.2">
      <c r="C48" s="9"/>
      <c r="D48" s="9"/>
      <c r="E48" s="9"/>
      <c r="F48" s="9"/>
      <c r="G48" s="9"/>
      <c r="H48" s="9"/>
      <c r="I48" s="30"/>
      <c r="J48" s="9"/>
      <c r="K48" s="1"/>
      <c r="L48" s="1"/>
      <c r="M48" s="1"/>
      <c r="N48" s="9"/>
      <c r="O48" s="1"/>
      <c r="P48" s="1"/>
      <c r="Q48" s="1"/>
      <c r="R48" s="1"/>
      <c r="U48" s="187"/>
      <c r="V48" s="167"/>
      <c r="W48" s="167"/>
      <c r="X48" s="167"/>
      <c r="Y48" s="167"/>
      <c r="Z48" s="168"/>
      <c r="AA48" s="168"/>
      <c r="AB48" s="168"/>
      <c r="AC48" s="168"/>
      <c r="AD48" s="168"/>
      <c r="AE48" s="168"/>
      <c r="AF48" s="168"/>
      <c r="AG48" s="168"/>
      <c r="AH48" s="168"/>
      <c r="AI48" s="8"/>
    </row>
    <row r="49" spans="2:35" ht="12.75" customHeight="1" x14ac:dyDescent="0.2">
      <c r="C49" s="9"/>
      <c r="D49" s="9"/>
      <c r="E49" s="9"/>
      <c r="F49" s="9"/>
      <c r="G49" s="9"/>
      <c r="H49" s="9"/>
      <c r="I49" s="30"/>
      <c r="J49" s="9"/>
      <c r="K49" s="1"/>
      <c r="L49" s="1"/>
      <c r="M49" s="1"/>
      <c r="N49" s="1"/>
      <c r="O49" s="1"/>
      <c r="P49" s="1"/>
      <c r="Q49" s="1"/>
      <c r="R49" s="1"/>
      <c r="U49" s="187"/>
      <c r="V49" s="167"/>
      <c r="W49" s="167"/>
      <c r="X49" s="167"/>
      <c r="Y49" s="167"/>
      <c r="Z49" s="168"/>
      <c r="AA49" s="168"/>
      <c r="AB49" s="168"/>
      <c r="AC49" s="168"/>
      <c r="AD49" s="168"/>
      <c r="AE49" s="168"/>
      <c r="AF49" s="168"/>
      <c r="AG49" s="168"/>
      <c r="AH49" s="168"/>
      <c r="AI49" s="8"/>
    </row>
    <row r="50" spans="2:35" x14ac:dyDescent="0.2">
      <c r="B50" s="12"/>
      <c r="C50" s="9"/>
      <c r="D50" s="9"/>
      <c r="E50" s="9"/>
      <c r="F50" s="9"/>
      <c r="G50" s="9"/>
      <c r="H50" s="9"/>
      <c r="I50" s="30"/>
      <c r="J50" s="9"/>
      <c r="K50" s="1"/>
      <c r="L50" s="1"/>
      <c r="M50" s="1"/>
      <c r="N50" s="1"/>
      <c r="O50" s="1"/>
      <c r="P50" s="1"/>
      <c r="Q50" s="1"/>
      <c r="R50" s="1"/>
      <c r="X50" s="187"/>
      <c r="Y50" s="167"/>
      <c r="Z50" s="167"/>
      <c r="AA50" s="167"/>
      <c r="AB50" s="167"/>
      <c r="AC50" s="167"/>
      <c r="AD50" s="168"/>
      <c r="AE50" s="168"/>
      <c r="AF50" s="168"/>
      <c r="AG50" s="168"/>
      <c r="AH50" s="168"/>
      <c r="AI50" s="8"/>
    </row>
    <row r="51" spans="2:35" x14ac:dyDescent="0.2">
      <c r="C51" s="9"/>
      <c r="D51" s="9"/>
      <c r="E51" s="9"/>
      <c r="F51" s="9"/>
      <c r="G51" s="9"/>
      <c r="H51" s="9"/>
      <c r="I51" s="30"/>
      <c r="J51" s="9"/>
      <c r="K51" s="9"/>
      <c r="L51" s="9"/>
      <c r="M51" s="9"/>
      <c r="N51" s="9"/>
      <c r="O51" s="9"/>
      <c r="P51" s="9"/>
      <c r="Q51" s="1"/>
      <c r="R51" s="1"/>
    </row>
    <row r="52" spans="2:35" x14ac:dyDescent="0.2">
      <c r="C52" s="9"/>
      <c r="D52" s="9"/>
      <c r="E52" s="9"/>
      <c r="F52" s="9"/>
      <c r="G52" s="9"/>
      <c r="H52" s="9"/>
      <c r="I52" s="30"/>
      <c r="J52" s="9"/>
      <c r="K52" s="9"/>
      <c r="L52" s="9"/>
      <c r="M52" s="9"/>
      <c r="N52" s="9"/>
      <c r="O52" s="9"/>
      <c r="P52" s="9"/>
      <c r="Q52" s="1"/>
      <c r="R52" s="1"/>
    </row>
    <row r="53" spans="2:35" x14ac:dyDescent="0.2">
      <c r="C53" s="9"/>
      <c r="D53" s="9"/>
      <c r="E53" s="9"/>
      <c r="F53" s="9"/>
      <c r="G53" s="9"/>
      <c r="H53" s="9"/>
      <c r="I53" s="30"/>
      <c r="J53" s="9"/>
      <c r="K53" s="9"/>
      <c r="L53" s="9"/>
      <c r="M53" s="9"/>
      <c r="N53" s="9"/>
      <c r="O53" s="9"/>
      <c r="P53" s="9"/>
      <c r="Q53" s="1"/>
      <c r="R53" s="1"/>
    </row>
    <row r="54" spans="2:35" x14ac:dyDescent="0.2">
      <c r="C54" s="9"/>
      <c r="D54" s="9"/>
      <c r="E54" s="9"/>
      <c r="F54" s="9"/>
      <c r="G54" s="9"/>
      <c r="H54" s="9"/>
      <c r="I54" s="30"/>
      <c r="J54" s="9"/>
      <c r="K54" s="9"/>
      <c r="L54" s="9"/>
      <c r="M54" s="9"/>
      <c r="N54" s="9"/>
      <c r="O54" s="9"/>
      <c r="P54" s="9"/>
      <c r="Q54" s="1"/>
      <c r="R54" s="1"/>
    </row>
    <row r="55" spans="2:35" x14ac:dyDescent="0.2">
      <c r="C55" s="9"/>
      <c r="D55" s="9"/>
      <c r="E55" s="9"/>
      <c r="F55" s="9"/>
      <c r="G55" s="9"/>
      <c r="H55" s="9"/>
      <c r="I55" s="30"/>
      <c r="J55" s="9"/>
      <c r="K55" s="9"/>
      <c r="L55" s="9"/>
      <c r="M55" s="9"/>
      <c r="N55" s="9"/>
      <c r="O55" s="9"/>
      <c r="P55" s="9"/>
      <c r="Q55" s="1"/>
      <c r="R55" s="1"/>
    </row>
    <row r="56" spans="2:35" x14ac:dyDescent="0.2">
      <c r="C56" s="9"/>
      <c r="D56" s="9"/>
      <c r="E56" s="9"/>
      <c r="F56" s="9"/>
      <c r="G56" s="9"/>
      <c r="H56" s="9"/>
      <c r="I56" s="30"/>
      <c r="J56" s="9"/>
      <c r="K56" s="9"/>
      <c r="L56" s="9"/>
      <c r="M56" s="9"/>
      <c r="N56" s="9"/>
      <c r="O56" s="9"/>
      <c r="P56" s="9"/>
      <c r="Q56" s="1"/>
      <c r="R56" s="1"/>
    </row>
    <row r="57" spans="2:35" x14ac:dyDescent="0.2">
      <c r="C57" s="9"/>
      <c r="D57" s="9"/>
      <c r="E57" s="9"/>
      <c r="F57" s="9"/>
      <c r="G57" s="9"/>
      <c r="H57" s="9"/>
      <c r="I57" s="30"/>
      <c r="J57" s="9"/>
      <c r="K57" s="9"/>
      <c r="L57" s="9"/>
      <c r="M57" s="9"/>
      <c r="N57" s="9"/>
      <c r="O57" s="9"/>
      <c r="P57" s="9"/>
      <c r="Q57" s="1"/>
      <c r="R57" s="1"/>
    </row>
    <row r="58" spans="2:35" x14ac:dyDescent="0.2">
      <c r="C58" s="9"/>
      <c r="D58" s="9"/>
      <c r="E58" s="9"/>
      <c r="F58" s="9"/>
      <c r="G58" s="9"/>
      <c r="H58" s="9"/>
      <c r="I58" s="30"/>
      <c r="J58" s="9"/>
      <c r="K58" s="9"/>
      <c r="L58" s="9"/>
      <c r="M58" s="9"/>
      <c r="N58" s="9"/>
      <c r="O58" s="9"/>
      <c r="P58" s="9"/>
      <c r="Q58" s="1"/>
      <c r="R58" s="1"/>
    </row>
    <row r="59" spans="2:35" x14ac:dyDescent="0.2">
      <c r="C59" s="9"/>
      <c r="D59" s="9"/>
      <c r="E59" s="9"/>
      <c r="F59" s="9"/>
      <c r="G59" s="9"/>
      <c r="H59" s="9"/>
      <c r="I59" s="30"/>
      <c r="J59" s="9"/>
      <c r="K59" s="9"/>
      <c r="L59" s="9"/>
      <c r="M59" s="9"/>
      <c r="N59" s="9"/>
      <c r="O59" s="9"/>
      <c r="P59" s="9"/>
      <c r="Q59" s="1"/>
      <c r="R59" s="1"/>
    </row>
    <row r="60" spans="2:35" x14ac:dyDescent="0.2">
      <c r="C60" s="9"/>
      <c r="D60" s="9"/>
      <c r="E60" s="9"/>
      <c r="F60" s="9"/>
      <c r="G60" s="9"/>
      <c r="H60" s="9"/>
      <c r="I60" s="30"/>
      <c r="J60" s="9"/>
      <c r="K60" s="9"/>
      <c r="L60" s="9"/>
      <c r="M60" s="9"/>
      <c r="N60" s="9"/>
      <c r="O60" s="9"/>
      <c r="P60" s="9"/>
      <c r="Q60" s="1"/>
      <c r="R60" s="1"/>
    </row>
    <row r="61" spans="2:35" x14ac:dyDescent="0.2">
      <c r="C61" s="9"/>
      <c r="D61" s="9"/>
      <c r="E61" s="9"/>
      <c r="F61" s="9"/>
      <c r="G61" s="9"/>
      <c r="H61" s="9"/>
      <c r="I61" s="30"/>
      <c r="J61" s="9"/>
      <c r="K61" s="9"/>
      <c r="L61" s="9"/>
      <c r="M61" s="9"/>
      <c r="N61" s="9"/>
      <c r="O61" s="9"/>
      <c r="P61" s="9"/>
      <c r="Q61" s="1"/>
      <c r="R61" s="1"/>
    </row>
    <row r="62" spans="2:35" x14ac:dyDescent="0.2">
      <c r="C62" s="9"/>
      <c r="D62" s="9"/>
      <c r="E62" s="9"/>
      <c r="F62" s="9"/>
      <c r="G62" s="9"/>
      <c r="H62" s="9"/>
      <c r="I62" s="30"/>
      <c r="J62" s="9"/>
      <c r="K62" s="9"/>
      <c r="L62" s="9"/>
      <c r="M62" s="9"/>
      <c r="N62" s="9"/>
      <c r="O62" s="9"/>
      <c r="P62" s="9"/>
      <c r="Q62" s="1"/>
      <c r="R62" s="1"/>
    </row>
    <row r="63" spans="2:35" x14ac:dyDescent="0.2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"/>
      <c r="R63" s="1"/>
    </row>
    <row r="64" spans="2:35" x14ac:dyDescent="0.2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1"/>
      <c r="R64" s="1"/>
    </row>
    <row r="65" spans="3:35" x14ac:dyDescent="0.2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1"/>
      <c r="R65" s="1"/>
    </row>
    <row r="66" spans="3:35" x14ac:dyDescent="0.2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1"/>
      <c r="R66" s="1"/>
    </row>
    <row r="67" spans="3:35" x14ac:dyDescent="0.2"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1"/>
      <c r="R67" s="1"/>
    </row>
    <row r="68" spans="3:35" x14ac:dyDescent="0.2"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1"/>
      <c r="R68" s="1"/>
    </row>
    <row r="69" spans="3:35" x14ac:dyDescent="0.2"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"/>
      <c r="R69" s="1"/>
    </row>
    <row r="70" spans="3:35" x14ac:dyDescent="0.2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"/>
      <c r="R70" s="1"/>
    </row>
    <row r="71" spans="3:35" x14ac:dyDescent="0.2">
      <c r="C71" s="9"/>
      <c r="D71" s="9"/>
      <c r="E71" s="12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"/>
      <c r="R71" s="1"/>
    </row>
    <row r="72" spans="3:35" x14ac:dyDescent="0.2"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1"/>
      <c r="R72" s="1"/>
    </row>
    <row r="73" spans="3:35" x14ac:dyDescent="0.2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1"/>
      <c r="P73" s="1"/>
      <c r="Q73" s="1"/>
      <c r="AA73" s="187"/>
      <c r="AB73" s="167"/>
      <c r="AC73" s="167"/>
      <c r="AD73" s="167"/>
      <c r="AH73" s="168"/>
      <c r="AI73" s="8"/>
    </row>
    <row r="74" spans="3:35" x14ac:dyDescent="0.2">
      <c r="C74" s="9"/>
      <c r="O74" s="2"/>
      <c r="P74" s="2"/>
      <c r="AA74" s="187"/>
      <c r="AB74" s="167"/>
      <c r="AC74" s="167"/>
      <c r="AD74" s="167"/>
      <c r="AH74" s="168"/>
      <c r="AI74" s="8"/>
    </row>
    <row r="75" spans="3:35" x14ac:dyDescent="0.2">
      <c r="C75" s="9"/>
      <c r="O75" s="2"/>
      <c r="P75" s="2"/>
      <c r="AA75" s="187"/>
      <c r="AB75" s="167"/>
      <c r="AC75" s="167"/>
      <c r="AD75" s="167"/>
      <c r="AH75" s="168"/>
      <c r="AI75" s="8"/>
    </row>
    <row r="76" spans="3:35" x14ac:dyDescent="0.2">
      <c r="C76" s="9"/>
      <c r="O76" s="2"/>
      <c r="P76" s="2"/>
      <c r="AA76" s="187"/>
      <c r="AB76" s="167"/>
      <c r="AC76" s="167"/>
      <c r="AD76" s="167"/>
      <c r="AH76" s="168"/>
      <c r="AI76" s="8"/>
    </row>
  </sheetData>
  <mergeCells count="132">
    <mergeCell ref="AA4:AD5"/>
    <mergeCell ref="H5:P5"/>
    <mergeCell ref="H6:P6"/>
    <mergeCell ref="T6:U6"/>
    <mergeCell ref="H7:P7"/>
    <mergeCell ref="T7:U7"/>
    <mergeCell ref="G2:K2"/>
    <mergeCell ref="N2:P2"/>
    <mergeCell ref="T2:AD2"/>
    <mergeCell ref="T3:U3"/>
    <mergeCell ref="T4:U5"/>
    <mergeCell ref="V4:V5"/>
    <mergeCell ref="W4:W5"/>
    <mergeCell ref="X4:X5"/>
    <mergeCell ref="Y4:Y5"/>
    <mergeCell ref="Z4:Z5"/>
    <mergeCell ref="C13:E13"/>
    <mergeCell ref="G16:H16"/>
    <mergeCell ref="J16:K17"/>
    <mergeCell ref="L16:M16"/>
    <mergeCell ref="N16:Q16"/>
    <mergeCell ref="E19:H19"/>
    <mergeCell ref="I19:P19"/>
    <mergeCell ref="T8:U8"/>
    <mergeCell ref="C10:E10"/>
    <mergeCell ref="G10:J10"/>
    <mergeCell ref="C11:E11"/>
    <mergeCell ref="G11:J11"/>
    <mergeCell ref="C12:E12"/>
    <mergeCell ref="E20:F20"/>
    <mergeCell ref="G20:H20"/>
    <mergeCell ref="I20:L20"/>
    <mergeCell ref="M20:P20"/>
    <mergeCell ref="B21:D21"/>
    <mergeCell ref="I21:J21"/>
    <mergeCell ref="K21:L21"/>
    <mergeCell ref="M21:N21"/>
    <mergeCell ref="O21:P21"/>
    <mergeCell ref="B22:D22"/>
    <mergeCell ref="I22:J22"/>
    <mergeCell ref="K22:L22"/>
    <mergeCell ref="M22:N22"/>
    <mergeCell ref="O22:P22"/>
    <mergeCell ref="B23:D23"/>
    <mergeCell ref="I23:J23"/>
    <mergeCell ref="K23:L23"/>
    <mergeCell ref="M23:N23"/>
    <mergeCell ref="O23:P23"/>
    <mergeCell ref="U25:V25"/>
    <mergeCell ref="B26:D26"/>
    <mergeCell ref="I26:J26"/>
    <mergeCell ref="K26:L26"/>
    <mergeCell ref="M26:N26"/>
    <mergeCell ref="O26:P26"/>
    <mergeCell ref="B24:D24"/>
    <mergeCell ref="I24:J24"/>
    <mergeCell ref="K24:L24"/>
    <mergeCell ref="M24:N24"/>
    <mergeCell ref="O24:P24"/>
    <mergeCell ref="B25:D25"/>
    <mergeCell ref="I25:J25"/>
    <mergeCell ref="K25:L25"/>
    <mergeCell ref="M25:N25"/>
    <mergeCell ref="O25:P25"/>
    <mergeCell ref="B27:D27"/>
    <mergeCell ref="I27:J27"/>
    <mergeCell ref="K27:L27"/>
    <mergeCell ref="M27:N27"/>
    <mergeCell ref="O27:P27"/>
    <mergeCell ref="B28:D28"/>
    <mergeCell ref="I28:J28"/>
    <mergeCell ref="K28:L28"/>
    <mergeCell ref="M28:N28"/>
    <mergeCell ref="O28:P28"/>
    <mergeCell ref="B29:D29"/>
    <mergeCell ref="I29:J29"/>
    <mergeCell ref="K29:L29"/>
    <mergeCell ref="M29:N29"/>
    <mergeCell ref="O29:P29"/>
    <mergeCell ref="B30:D30"/>
    <mergeCell ref="I30:J30"/>
    <mergeCell ref="K30:L30"/>
    <mergeCell ref="M30:N30"/>
    <mergeCell ref="O30:P30"/>
    <mergeCell ref="B31:D31"/>
    <mergeCell ref="I31:J31"/>
    <mergeCell ref="K31:L31"/>
    <mergeCell ref="M31:N31"/>
    <mergeCell ref="O31:P31"/>
    <mergeCell ref="B32:D32"/>
    <mergeCell ref="I32:J32"/>
    <mergeCell ref="K32:L32"/>
    <mergeCell ref="M32:N32"/>
    <mergeCell ref="O32:P32"/>
    <mergeCell ref="B33:D33"/>
    <mergeCell ref="I33:J33"/>
    <mergeCell ref="K33:L33"/>
    <mergeCell ref="M33:N33"/>
    <mergeCell ref="O33:P33"/>
    <mergeCell ref="B34:D34"/>
    <mergeCell ref="I34:J34"/>
    <mergeCell ref="K34:L34"/>
    <mergeCell ref="M34:N34"/>
    <mergeCell ref="O34:P34"/>
    <mergeCell ref="B36:D36"/>
    <mergeCell ref="I36:J36"/>
    <mergeCell ref="K36:L36"/>
    <mergeCell ref="M36:N36"/>
    <mergeCell ref="O36:P36"/>
    <mergeCell ref="T36:V36"/>
    <mergeCell ref="B35:D35"/>
    <mergeCell ref="I35:J35"/>
    <mergeCell ref="K35:L35"/>
    <mergeCell ref="M35:N35"/>
    <mergeCell ref="O35:P35"/>
    <mergeCell ref="S35:X35"/>
    <mergeCell ref="M43:N43"/>
    <mergeCell ref="O43:P43"/>
    <mergeCell ref="V43:AF43"/>
    <mergeCell ref="V45:AF45"/>
    <mergeCell ref="W46:AF46"/>
    <mergeCell ref="W47:AG47"/>
    <mergeCell ref="W36:AD36"/>
    <mergeCell ref="K40:L40"/>
    <mergeCell ref="M40:N40"/>
    <mergeCell ref="O40:P40"/>
    <mergeCell ref="K41:L43"/>
    <mergeCell ref="M41:N41"/>
    <mergeCell ref="O41:P41"/>
    <mergeCell ref="M42:N42"/>
    <mergeCell ref="O42:P42"/>
    <mergeCell ref="U42:AA42"/>
  </mergeCells>
  <conditionalFormatting sqref="E22:E33 O41:P42">
    <cfRule type="cellIs" dxfId="49" priority="6" stopIfTrue="1" operator="equal">
      <formula>"Enter Value"</formula>
    </cfRule>
  </conditionalFormatting>
  <conditionalFormatting sqref="E22:E33">
    <cfRule type="cellIs" dxfId="48" priority="4" stopIfTrue="1" operator="equal">
      <formula>$E$36</formula>
    </cfRule>
    <cfRule type="cellIs" dxfId="47" priority="5" stopIfTrue="1" operator="equal">
      <formula>$E$35</formula>
    </cfRule>
  </conditionalFormatting>
  <conditionalFormatting sqref="E34:E36 G34:G36">
    <cfRule type="cellIs" dxfId="46" priority="7" stopIfTrue="1" operator="lessThanOrEqual">
      <formula>$N$16</formula>
    </cfRule>
    <cfRule type="cellIs" dxfId="45" priority="8" stopIfTrue="1" operator="greaterThan">
      <formula>$N$16</formula>
    </cfRule>
  </conditionalFormatting>
  <conditionalFormatting sqref="F22:F36 H22:H36">
    <cfRule type="notContainsBlanks" dxfId="44" priority="24" stopIfTrue="1">
      <formula>LEN(TRIM(F22))&gt;0</formula>
    </cfRule>
    <cfRule type="containsBlanks" dxfId="43" priority="25" stopIfTrue="1">
      <formula>LEN(TRIM(F22))=0</formula>
    </cfRule>
  </conditionalFormatting>
  <conditionalFormatting sqref="G22:G33">
    <cfRule type="cellIs" dxfId="42" priority="1" stopIfTrue="1" operator="equal">
      <formula>$G$36</formula>
    </cfRule>
    <cfRule type="cellIs" dxfId="41" priority="2" stopIfTrue="1" operator="equal">
      <formula>$G$35</formula>
    </cfRule>
    <cfRule type="cellIs" dxfId="40" priority="3" stopIfTrue="1" operator="equal">
      <formula>"Enter Value"</formula>
    </cfRule>
  </conditionalFormatting>
  <conditionalFormatting sqref="H5">
    <cfRule type="cellIs" dxfId="39" priority="19" stopIfTrue="1" operator="equal">
      <formula>0</formula>
    </cfRule>
  </conditionalFormatting>
  <conditionalFormatting sqref="H6">
    <cfRule type="cellIs" dxfId="38" priority="21" stopIfTrue="1" operator="equal">
      <formula>"Choose King Antena"</formula>
    </cfRule>
  </conditionalFormatting>
  <conditionalFormatting sqref="H7">
    <cfRule type="cellIs" dxfId="37" priority="20" stopIfTrue="1" operator="equal">
      <formula>"Choose Frequency"</formula>
    </cfRule>
  </conditionalFormatting>
  <conditionalFormatting sqref="I8">
    <cfRule type="cellIs" dxfId="36" priority="23" stopIfTrue="1" operator="equal">
      <formula>"Chose Frequency"</formula>
    </cfRule>
  </conditionalFormatting>
  <conditionalFormatting sqref="I34:I36 M34:M36">
    <cfRule type="cellIs" dxfId="35" priority="15" stopIfTrue="1" operator="lessThanOrEqual">
      <formula>$G$16</formula>
    </cfRule>
    <cfRule type="cellIs" dxfId="34" priority="16" stopIfTrue="1" operator="greaterThan">
      <formula>$G$16</formula>
    </cfRule>
  </conditionalFormatting>
  <conditionalFormatting sqref="I22:J33 M22:N33">
    <cfRule type="cellIs" dxfId="33" priority="13" stopIfTrue="1" operator="lessThan">
      <formula>$G$16</formula>
    </cfRule>
    <cfRule type="cellIs" dxfId="32" priority="14" stopIfTrue="1" operator="greaterThanOrEqual">
      <formula>$G$16</formula>
    </cfRule>
  </conditionalFormatting>
  <conditionalFormatting sqref="K22:K33 O22:P33">
    <cfRule type="cellIs" dxfId="31" priority="11" stopIfTrue="1" operator="lessThan">
      <formula>$J$16</formula>
    </cfRule>
    <cfRule type="cellIs" dxfId="30" priority="12" stopIfTrue="1" operator="greaterThanOrEqual">
      <formula>$J$16</formula>
    </cfRule>
  </conditionalFormatting>
  <conditionalFormatting sqref="K34:K36 O34:O36">
    <cfRule type="cellIs" dxfId="29" priority="17" stopIfTrue="1" operator="lessThanOrEqual">
      <formula>$J$16</formula>
    </cfRule>
    <cfRule type="cellIs" dxfId="28" priority="18" stopIfTrue="1" operator="greaterThan">
      <formula>$J$16</formula>
    </cfRule>
  </conditionalFormatting>
  <conditionalFormatting sqref="K41:L43">
    <cfRule type="cellIs" dxfId="27" priority="22" stopIfTrue="1" operator="equal">
      <formula>"Enter Value"</formula>
    </cfRule>
  </conditionalFormatting>
  <conditionalFormatting sqref="O43:P43">
    <cfRule type="cellIs" dxfId="26" priority="9" stopIfTrue="1" operator="between">
      <formula>-5.2</formula>
      <formula>5.2</formula>
    </cfRule>
    <cfRule type="cellIs" dxfId="25" priority="10" stopIfTrue="1" operator="notBetween">
      <formula>-5.2</formula>
      <formula>5.2</formula>
    </cfRule>
  </conditionalFormatting>
  <dataValidations count="3">
    <dataValidation type="list" allowBlank="1" showInputMessage="1" showErrorMessage="1" sqref="H6:P6" xr:uid="{00000000-0002-0000-0100-000000000000}">
      <formula1>$Y$11:$Y$32</formula1>
    </dataValidation>
    <dataValidation type="list" allowBlank="1" showInputMessage="1" showErrorMessage="1" sqref="H7" xr:uid="{00000000-0002-0000-0100-000001000000}">
      <formula1>$V$6:$AE$6</formula1>
    </dataValidation>
    <dataValidation type="list" allowBlank="1" showInputMessage="1" showErrorMessage="1" sqref="I8" xr:uid="{00000000-0002-0000-0100-000002000000}">
      <formula1>$V$6:$AF$6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A76"/>
  <sheetViews>
    <sheetView tabSelected="1" workbookViewId="0">
      <selection activeCell="H6" sqref="H6:P6"/>
    </sheetView>
  </sheetViews>
  <sheetFormatPr defaultColWidth="11.44140625" defaultRowHeight="10.199999999999999" x14ac:dyDescent="0.2"/>
  <cols>
    <col min="1" max="1" width="4" style="9" customWidth="1"/>
    <col min="2" max="2" width="3.44140625" style="9" customWidth="1"/>
    <col min="3" max="3" width="7" style="8" customWidth="1"/>
    <col min="4" max="4" width="1.44140625" style="8" customWidth="1"/>
    <col min="5" max="8" width="9" style="8" customWidth="1"/>
    <col min="9" max="16" width="5.5546875" style="8" customWidth="1"/>
    <col min="17" max="17" width="3" style="2" customWidth="1"/>
    <col min="18" max="18" width="4.109375" style="2" customWidth="1"/>
    <col min="19" max="19" width="3" style="142" customWidth="1"/>
    <col min="20" max="29" width="10.88671875" style="142" customWidth="1"/>
    <col min="30" max="30" width="11.44140625" style="187"/>
    <col min="31" max="34" width="11.44140625" style="167"/>
    <col min="35" max="35" width="11.44140625" style="7"/>
    <col min="36" max="16384" width="11.44140625" style="8"/>
  </cols>
  <sheetData>
    <row r="1" spans="1:183" s="4" customFormat="1" ht="10.8" thickBot="1" x14ac:dyDescent="0.25">
      <c r="A1" s="78"/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100" t="s">
        <v>88</v>
      </c>
      <c r="Q1" s="76"/>
      <c r="R1" s="1"/>
      <c r="S1" s="131"/>
      <c r="T1" s="132"/>
      <c r="U1" s="132"/>
      <c r="V1" s="132"/>
      <c r="W1" s="132"/>
      <c r="X1" s="132"/>
      <c r="Y1" s="132"/>
      <c r="Z1" s="132"/>
      <c r="AA1" s="132"/>
      <c r="AB1" s="132"/>
      <c r="AC1" s="132"/>
      <c r="AD1" s="133"/>
      <c r="AE1" s="134"/>
      <c r="AF1" s="135"/>
      <c r="AG1" s="135"/>
      <c r="AH1" s="135"/>
      <c r="AI1" s="3"/>
    </row>
    <row r="2" spans="1:183" s="4" customFormat="1" ht="24" customHeight="1" thickBot="1" x14ac:dyDescent="0.25">
      <c r="A2" s="78"/>
      <c r="B2" s="78"/>
      <c r="C2" s="93"/>
      <c r="D2" s="93"/>
      <c r="E2" s="93"/>
      <c r="F2" s="93"/>
      <c r="G2" s="300" t="s">
        <v>44</v>
      </c>
      <c r="H2" s="301"/>
      <c r="I2" s="301"/>
      <c r="J2" s="301"/>
      <c r="K2" s="302"/>
      <c r="L2" s="93"/>
      <c r="M2" s="93"/>
      <c r="N2" s="303"/>
      <c r="O2" s="304"/>
      <c r="P2" s="304"/>
      <c r="Q2" s="76"/>
      <c r="R2" s="1"/>
      <c r="S2" s="136"/>
      <c r="T2" s="327" t="s">
        <v>90</v>
      </c>
      <c r="U2" s="328"/>
      <c r="V2" s="328"/>
      <c r="W2" s="328"/>
      <c r="X2" s="328"/>
      <c r="Y2" s="328"/>
      <c r="Z2" s="328"/>
      <c r="AA2" s="328"/>
      <c r="AB2" s="328"/>
      <c r="AC2" s="328"/>
      <c r="AD2" s="329"/>
      <c r="AE2" s="137"/>
      <c r="AF2" s="135"/>
      <c r="AG2" s="135"/>
      <c r="AH2" s="135"/>
      <c r="AI2" s="3"/>
    </row>
    <row r="3" spans="1:183" s="4" customFormat="1" ht="14.25" customHeight="1" x14ac:dyDescent="0.2">
      <c r="A3" s="78"/>
      <c r="B3" s="78"/>
      <c r="C3" s="78"/>
      <c r="D3" s="101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6"/>
      <c r="R3" s="1"/>
      <c r="S3" s="136"/>
      <c r="T3" s="325" t="s">
        <v>9</v>
      </c>
      <c r="U3" s="326"/>
      <c r="V3" s="138" t="s">
        <v>64</v>
      </c>
      <c r="W3" s="138" t="s">
        <v>64</v>
      </c>
      <c r="X3" s="138" t="s">
        <v>63</v>
      </c>
      <c r="Y3" s="138" t="s">
        <v>63</v>
      </c>
      <c r="Z3" s="138" t="s">
        <v>64</v>
      </c>
      <c r="AA3" s="138" t="s">
        <v>65</v>
      </c>
      <c r="AB3" s="138" t="s">
        <v>65</v>
      </c>
      <c r="AC3" s="138" t="s">
        <v>65</v>
      </c>
      <c r="AD3" s="139" t="s">
        <v>73</v>
      </c>
      <c r="AE3" s="137"/>
      <c r="AF3" s="135"/>
      <c r="AG3" s="135"/>
      <c r="AH3" s="135"/>
      <c r="AI3" s="3"/>
    </row>
    <row r="4" spans="1:183" s="4" customFormat="1" ht="14.25" customHeight="1" thickBot="1" x14ac:dyDescent="0.25">
      <c r="A4" s="78"/>
      <c r="B4" s="78"/>
      <c r="C4" s="101"/>
      <c r="D4" s="101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6"/>
      <c r="R4" s="1"/>
      <c r="S4" s="136"/>
      <c r="T4" s="319" t="s">
        <v>8</v>
      </c>
      <c r="U4" s="321"/>
      <c r="V4" s="330" t="s">
        <v>5</v>
      </c>
      <c r="W4" s="330" t="s">
        <v>6</v>
      </c>
      <c r="X4" s="330" t="s">
        <v>53</v>
      </c>
      <c r="Y4" s="330" t="s">
        <v>7</v>
      </c>
      <c r="Z4" s="330" t="s">
        <v>27</v>
      </c>
      <c r="AA4" s="319" t="s">
        <v>10</v>
      </c>
      <c r="AB4" s="320"/>
      <c r="AC4" s="320"/>
      <c r="AD4" s="321"/>
      <c r="AE4" s="137"/>
      <c r="AF4" s="135"/>
      <c r="AG4" s="135"/>
      <c r="AH4" s="135"/>
      <c r="AI4" s="3"/>
    </row>
    <row r="5" spans="1:183" s="4" customFormat="1" ht="16.5" customHeight="1" x14ac:dyDescent="0.25">
      <c r="A5" s="78"/>
      <c r="B5" s="102" t="s">
        <v>4</v>
      </c>
      <c r="C5" s="103"/>
      <c r="D5" s="104"/>
      <c r="E5" s="105"/>
      <c r="F5" s="104"/>
      <c r="G5" s="104" t="s">
        <v>15</v>
      </c>
      <c r="H5" s="290" t="s">
        <v>93</v>
      </c>
      <c r="I5" s="291"/>
      <c r="J5" s="291"/>
      <c r="K5" s="291"/>
      <c r="L5" s="291"/>
      <c r="M5" s="291"/>
      <c r="N5" s="291"/>
      <c r="O5" s="291"/>
      <c r="P5" s="292"/>
      <c r="Q5" s="76"/>
      <c r="R5" s="1"/>
      <c r="S5" s="136"/>
      <c r="T5" s="322"/>
      <c r="U5" s="324"/>
      <c r="V5" s="331"/>
      <c r="W5" s="331"/>
      <c r="X5" s="331"/>
      <c r="Y5" s="331"/>
      <c r="Z5" s="331"/>
      <c r="AA5" s="322"/>
      <c r="AB5" s="323"/>
      <c r="AC5" s="323"/>
      <c r="AD5" s="324"/>
      <c r="AE5" s="137"/>
      <c r="AF5" s="135"/>
      <c r="AG5" s="135"/>
      <c r="AH5" s="135"/>
      <c r="AI5" s="3"/>
    </row>
    <row r="6" spans="1:183" s="5" customFormat="1" ht="16.5" customHeight="1" x14ac:dyDescent="0.25">
      <c r="A6" s="72"/>
      <c r="B6" s="106"/>
      <c r="C6" s="72"/>
      <c r="D6" s="73"/>
      <c r="E6" s="130"/>
      <c r="F6" s="73"/>
      <c r="G6" s="73" t="s">
        <v>45</v>
      </c>
      <c r="H6" s="293" t="s">
        <v>96</v>
      </c>
      <c r="I6" s="294"/>
      <c r="J6" s="294"/>
      <c r="K6" s="294"/>
      <c r="L6" s="294"/>
      <c r="M6" s="294"/>
      <c r="N6" s="294"/>
      <c r="O6" s="294"/>
      <c r="P6" s="295"/>
      <c r="Q6" s="76"/>
      <c r="R6" s="1"/>
      <c r="S6" s="136"/>
      <c r="T6" s="325" t="s">
        <v>34</v>
      </c>
      <c r="U6" s="326"/>
      <c r="V6" s="138">
        <v>409.98750000000001</v>
      </c>
      <c r="W6" s="138">
        <v>426.0625</v>
      </c>
      <c r="X6" s="140">
        <v>433.42</v>
      </c>
      <c r="Y6" s="140">
        <v>433.92</v>
      </c>
      <c r="Z6" s="140">
        <v>447.7</v>
      </c>
      <c r="AA6" s="140">
        <v>868.25</v>
      </c>
      <c r="AB6" s="140">
        <v>868.95</v>
      </c>
      <c r="AC6" s="140">
        <v>869.85</v>
      </c>
      <c r="AD6" s="138">
        <v>2400</v>
      </c>
      <c r="AE6" s="141" t="s">
        <v>28</v>
      </c>
      <c r="AF6" s="142"/>
      <c r="AG6" s="142"/>
      <c r="AH6" s="142"/>
    </row>
    <row r="7" spans="1:183" s="5" customFormat="1" ht="16.5" customHeight="1" thickBot="1" x14ac:dyDescent="0.25">
      <c r="A7" s="72"/>
      <c r="B7" s="107"/>
      <c r="C7" s="108"/>
      <c r="D7" s="109"/>
      <c r="E7" s="110"/>
      <c r="F7" s="109"/>
      <c r="G7" s="109" t="s">
        <v>3</v>
      </c>
      <c r="H7" s="298">
        <v>447.7</v>
      </c>
      <c r="I7" s="298"/>
      <c r="J7" s="298"/>
      <c r="K7" s="298"/>
      <c r="L7" s="298"/>
      <c r="M7" s="298"/>
      <c r="N7" s="298"/>
      <c r="O7" s="298"/>
      <c r="P7" s="299"/>
      <c r="Q7" s="76"/>
      <c r="R7" s="1"/>
      <c r="S7" s="136"/>
      <c r="T7" s="317" t="s">
        <v>32</v>
      </c>
      <c r="U7" s="318"/>
      <c r="V7" s="138">
        <v>10.8</v>
      </c>
      <c r="W7" s="138">
        <v>4.9000000000000004</v>
      </c>
      <c r="X7" s="138">
        <v>4.93</v>
      </c>
      <c r="Y7" s="138">
        <v>4.93</v>
      </c>
      <c r="Z7" s="138">
        <v>5.03</v>
      </c>
      <c r="AA7" s="138">
        <v>7.1</v>
      </c>
      <c r="AB7" s="138">
        <v>7.1</v>
      </c>
      <c r="AC7" s="138">
        <v>7.1</v>
      </c>
      <c r="AD7" s="138">
        <v>12.12</v>
      </c>
      <c r="AE7" s="143"/>
      <c r="AF7" s="142"/>
      <c r="AG7" s="142"/>
      <c r="AH7" s="142"/>
      <c r="AI7" s="2"/>
    </row>
    <row r="8" spans="1:183" s="5" customFormat="1" ht="16.5" customHeight="1" x14ac:dyDescent="0.2">
      <c r="A8" s="71"/>
      <c r="B8" s="72"/>
      <c r="C8" s="72"/>
      <c r="D8" s="73"/>
      <c r="E8" s="130"/>
      <c r="F8" s="73"/>
      <c r="G8" s="130"/>
      <c r="H8" s="130"/>
      <c r="I8" s="75"/>
      <c r="J8" s="130"/>
      <c r="K8" s="130"/>
      <c r="L8" s="130"/>
      <c r="M8" s="130"/>
      <c r="N8" s="130"/>
      <c r="O8" s="130"/>
      <c r="P8" s="72"/>
      <c r="Q8" s="76"/>
      <c r="R8" s="1"/>
      <c r="S8" s="136"/>
      <c r="T8" s="317" t="s">
        <v>33</v>
      </c>
      <c r="U8" s="318"/>
      <c r="V8" s="138">
        <v>17.8</v>
      </c>
      <c r="W8" s="138">
        <v>17.2</v>
      </c>
      <c r="X8" s="138">
        <v>17</v>
      </c>
      <c r="Y8" s="138">
        <v>17</v>
      </c>
      <c r="Z8" s="138">
        <v>17.100000000000001</v>
      </c>
      <c r="AA8" s="138">
        <v>23</v>
      </c>
      <c r="AB8" s="138">
        <v>23</v>
      </c>
      <c r="AC8" s="138">
        <v>23</v>
      </c>
      <c r="AD8" s="138">
        <v>30</v>
      </c>
      <c r="AE8" s="143"/>
      <c r="AF8" s="142"/>
      <c r="AG8" s="142"/>
      <c r="AH8" s="142"/>
      <c r="AI8" s="2"/>
    </row>
    <row r="9" spans="1:183" s="4" customFormat="1" ht="16.5" customHeight="1" x14ac:dyDescent="0.2">
      <c r="A9" s="77"/>
      <c r="B9" s="31" t="s">
        <v>22</v>
      </c>
      <c r="C9" s="130"/>
      <c r="D9" s="130"/>
      <c r="E9" s="78"/>
      <c r="F9" s="79"/>
      <c r="G9" s="78"/>
      <c r="H9" s="78"/>
      <c r="I9" s="80"/>
      <c r="J9" s="80"/>
      <c r="K9" s="80"/>
      <c r="L9" s="80"/>
      <c r="M9" s="79"/>
      <c r="N9" s="79"/>
      <c r="O9" s="79"/>
      <c r="P9" s="79"/>
      <c r="Q9" s="76"/>
      <c r="R9" s="1"/>
      <c r="S9" s="136"/>
      <c r="T9" s="144"/>
      <c r="U9" s="145"/>
      <c r="V9" s="145"/>
      <c r="W9" s="145"/>
      <c r="X9" s="145"/>
      <c r="Y9" s="145"/>
      <c r="Z9" s="145"/>
      <c r="AA9" s="145"/>
      <c r="AB9" s="146"/>
      <c r="AC9" s="146"/>
      <c r="AD9" s="147"/>
      <c r="AE9" s="143"/>
      <c r="AF9" s="142"/>
      <c r="AG9" s="142"/>
      <c r="AH9" s="142"/>
      <c r="AI9" s="2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</row>
    <row r="10" spans="1:183" s="4" customFormat="1" ht="19.5" customHeight="1" x14ac:dyDescent="0.2">
      <c r="A10" s="77"/>
      <c r="B10" s="78"/>
      <c r="C10" s="268" t="s">
        <v>41</v>
      </c>
      <c r="D10" s="269"/>
      <c r="E10" s="269"/>
      <c r="F10" s="130"/>
      <c r="G10" s="280">
        <f>U11+U12+U13</f>
        <v>5.03</v>
      </c>
      <c r="H10" s="281"/>
      <c r="I10" s="281"/>
      <c r="J10" s="281"/>
      <c r="K10" s="78"/>
      <c r="L10" s="79"/>
      <c r="M10" s="79"/>
      <c r="N10" s="79"/>
      <c r="O10" s="79"/>
      <c r="P10" s="78"/>
      <c r="Q10" s="76"/>
      <c r="R10" s="1"/>
      <c r="S10" s="136"/>
      <c r="T10" s="138"/>
      <c r="U10" s="138" t="s">
        <v>13</v>
      </c>
      <c r="V10" s="138" t="s">
        <v>14</v>
      </c>
      <c r="W10" s="148"/>
      <c r="X10" s="148"/>
      <c r="Y10" s="149" t="s">
        <v>60</v>
      </c>
      <c r="Z10" s="150"/>
      <c r="AA10" s="151"/>
      <c r="AB10" s="151"/>
      <c r="AC10" s="152"/>
      <c r="AD10" s="147"/>
      <c r="AE10" s="137"/>
      <c r="AF10" s="135"/>
      <c r="AG10" s="135"/>
      <c r="AH10" s="135"/>
      <c r="AI10" s="3"/>
    </row>
    <row r="11" spans="1:183" s="4" customFormat="1" ht="12.75" customHeight="1" x14ac:dyDescent="0.2">
      <c r="A11" s="77"/>
      <c r="B11" s="78"/>
      <c r="C11" s="268" t="s">
        <v>42</v>
      </c>
      <c r="D11" s="269"/>
      <c r="E11" s="269"/>
      <c r="F11" s="130"/>
      <c r="G11" s="282">
        <f>V11+V12+V13</f>
        <v>17.100000000000001</v>
      </c>
      <c r="H11" s="283"/>
      <c r="I11" s="283"/>
      <c r="J11" s="283"/>
      <c r="K11" s="78"/>
      <c r="L11" s="79"/>
      <c r="M11" s="79"/>
      <c r="N11" s="79"/>
      <c r="O11" s="79"/>
      <c r="P11" s="78"/>
      <c r="Q11" s="76"/>
      <c r="R11" s="1"/>
      <c r="S11" s="136"/>
      <c r="T11" s="138" t="s">
        <v>11</v>
      </c>
      <c r="U11" s="153">
        <f>IF(H7=V6,V7,IF(H7=W6,W7,IF(H7=X6,X7,IF(H7=Y6,Y7,IF(H7=Z6,Z7,0)))))</f>
        <v>5.03</v>
      </c>
      <c r="V11" s="154">
        <f>IF(H7=V6,V8,IF(H7=W6,W8,IF(H7=X6,X8,IF(H7=Y6,Y8,IF(H7=Z6,Z8,0)))))</f>
        <v>17.100000000000001</v>
      </c>
      <c r="W11" s="148"/>
      <c r="X11" s="148"/>
      <c r="Y11" s="155" t="s">
        <v>89</v>
      </c>
      <c r="Z11" s="156"/>
      <c r="AA11" s="157"/>
      <c r="AB11" s="157"/>
      <c r="AC11" s="158"/>
      <c r="AD11" s="147"/>
      <c r="AE11" s="137"/>
      <c r="AF11" s="135"/>
      <c r="AG11" s="135"/>
      <c r="AH11" s="159"/>
    </row>
    <row r="12" spans="1:183" s="4" customFormat="1" ht="12.75" customHeight="1" x14ac:dyDescent="0.2">
      <c r="A12" s="77"/>
      <c r="B12" s="78"/>
      <c r="C12" s="268" t="s">
        <v>1</v>
      </c>
      <c r="D12" s="269"/>
      <c r="E12" s="269"/>
      <c r="F12" s="130"/>
      <c r="G12" s="81">
        <v>3</v>
      </c>
      <c r="H12" s="129"/>
      <c r="I12" s="78"/>
      <c r="J12" s="78"/>
      <c r="K12" s="78"/>
      <c r="L12" s="79"/>
      <c r="M12" s="79"/>
      <c r="N12" s="79"/>
      <c r="O12" s="79"/>
      <c r="P12" s="78"/>
      <c r="Q12" s="76"/>
      <c r="R12" s="1"/>
      <c r="S12" s="136"/>
      <c r="T12" s="138" t="s">
        <v>12</v>
      </c>
      <c r="U12" s="153">
        <f>IF(H7=AA6,AA7,IF(H7=AB6,AB7,IF(H7=AC6,AC7,0)))</f>
        <v>0</v>
      </c>
      <c r="V12" s="154">
        <f>IF(H7=AA6,AA8,IF(H7=AB6,AB8,IF(H7=AC6,AC8,0)))</f>
        <v>0</v>
      </c>
      <c r="W12" s="148"/>
      <c r="X12" s="148"/>
      <c r="Y12" s="160" t="s">
        <v>66</v>
      </c>
      <c r="Z12" s="161"/>
      <c r="AA12" s="146"/>
      <c r="AB12" s="146"/>
      <c r="AC12" s="162"/>
      <c r="AD12" s="147"/>
      <c r="AE12" s="137"/>
      <c r="AF12" s="135"/>
      <c r="AG12" s="135"/>
      <c r="AH12" s="159"/>
    </row>
    <row r="13" spans="1:183" ht="12.75" customHeight="1" x14ac:dyDescent="0.3">
      <c r="A13" s="82"/>
      <c r="B13" s="78"/>
      <c r="C13" s="268" t="s">
        <v>2</v>
      </c>
      <c r="D13" s="269"/>
      <c r="E13" s="269"/>
      <c r="F13" s="130"/>
      <c r="G13" s="78" t="s">
        <v>38</v>
      </c>
      <c r="H13" s="83"/>
      <c r="I13" s="82"/>
      <c r="J13" s="82"/>
      <c r="K13" s="78"/>
      <c r="L13" s="84"/>
      <c r="M13" s="84"/>
      <c r="N13" s="84"/>
      <c r="O13" s="84"/>
      <c r="P13" s="82"/>
      <c r="Q13" s="76"/>
      <c r="R13" s="1"/>
      <c r="S13" s="136"/>
      <c r="T13" s="138" t="s">
        <v>72</v>
      </c>
      <c r="U13" s="153">
        <f>IF(H7=AD6,AD7,0)</f>
        <v>0</v>
      </c>
      <c r="V13" s="154">
        <f>IF(H7=AD6,AD8,0)</f>
        <v>0</v>
      </c>
      <c r="W13" s="163"/>
      <c r="X13" s="163"/>
      <c r="Y13" s="164" t="s">
        <v>67</v>
      </c>
      <c r="Z13" s="161"/>
      <c r="AA13" s="147"/>
      <c r="AB13" s="147"/>
      <c r="AC13" s="165"/>
      <c r="AD13" s="147"/>
      <c r="AE13" s="166"/>
      <c r="AH13" s="168"/>
      <c r="AI13" s="8"/>
    </row>
    <row r="14" spans="1:183" ht="12.75" customHeight="1" x14ac:dyDescent="0.2">
      <c r="A14" s="82"/>
      <c r="B14" s="78"/>
      <c r="C14" s="85" t="s">
        <v>91</v>
      </c>
      <c r="D14" s="130"/>
      <c r="E14" s="130"/>
      <c r="F14" s="130"/>
      <c r="G14" s="83"/>
      <c r="H14" s="83"/>
      <c r="I14" s="82"/>
      <c r="J14" s="82"/>
      <c r="K14" s="78"/>
      <c r="L14" s="84"/>
      <c r="M14" s="84"/>
      <c r="N14" s="84"/>
      <c r="O14" s="84"/>
      <c r="P14" s="82"/>
      <c r="Q14" s="76"/>
      <c r="R14" s="1"/>
      <c r="S14" s="136"/>
      <c r="T14" s="145"/>
      <c r="U14" s="145"/>
      <c r="V14" s="145"/>
      <c r="W14" s="163"/>
      <c r="X14" s="163"/>
      <c r="Y14" s="160" t="s">
        <v>84</v>
      </c>
      <c r="AC14" s="165"/>
      <c r="AD14" s="147"/>
      <c r="AE14" s="166"/>
      <c r="AH14" s="168"/>
      <c r="AI14" s="8"/>
    </row>
    <row r="15" spans="1:183" ht="12.75" customHeight="1" x14ac:dyDescent="0.2">
      <c r="A15" s="82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4"/>
      <c r="N15" s="84"/>
      <c r="O15" s="84"/>
      <c r="P15" s="84"/>
      <c r="Q15" s="76"/>
      <c r="R15" s="1"/>
      <c r="S15" s="136"/>
      <c r="T15" s="145"/>
      <c r="U15" s="145"/>
      <c r="V15" s="145"/>
      <c r="W15" s="163"/>
      <c r="X15" s="163"/>
      <c r="Y15" s="169" t="s">
        <v>85</v>
      </c>
      <c r="AC15" s="165"/>
      <c r="AD15" s="147"/>
      <c r="AE15" s="166"/>
      <c r="AF15" s="168"/>
      <c r="AG15" s="168"/>
      <c r="AH15" s="168"/>
      <c r="AI15" s="8"/>
    </row>
    <row r="16" spans="1:183" ht="12.75" customHeight="1" x14ac:dyDescent="0.2">
      <c r="A16" s="82"/>
      <c r="B16" s="86" t="s">
        <v>26</v>
      </c>
      <c r="C16" s="82"/>
      <c r="D16" s="86"/>
      <c r="E16" s="84"/>
      <c r="F16" s="87" t="s">
        <v>20</v>
      </c>
      <c r="G16" s="270">
        <f>IF(J16 = "Choose Antena","Choose Antena",IF(J16 = "No limit associed","No limit associed",IF(J16 = "Not defined for moment","Not defined for moment",20*LOG(J16))))</f>
        <v>40</v>
      </c>
      <c r="H16" s="270"/>
      <c r="I16" s="88" t="s">
        <v>21</v>
      </c>
      <c r="J16" s="271">
        <f>IF(H6="RTS Printed or Wire Antenna",100,IF(H6="RTS Pairing Main Supply Antenna",250,IF(H6="RTS Printed or Wire Antenna (Korea &amp; Japan no autonomous)",71,IF(H6="RTS Pairing Main Supply Antenna (Korea &amp; Japan no autonomous)",178,IF(H6="RTS Printed or Wire Antenna (Korea &amp; Japan autonomous)",112,IF(H6="RTS Pairing Main Supply Antenna (Korea &amp; Japan autonomous)",282,IF(H6="RTX Master Printed or Wire Antenna",100,IF(H6="RTX Master Pairing Main Supply Antenna","Not defined for moment",IF(H6="RTX Slave Printed or Wire Antenna",200,IF(H6="RTX Slave Pairing Main Supply Antenna",500,IF(H6="ZIGBEE Actuators Printed or Wire Antenna",250,IF(H6="ZIGBEE Actuators Pairing Main Supply Antenna",500,IF(H6="BLE Actuators &amp; Controls Printed or Wire Antenna",1300,IF(H6="BLE Actuators &amp; Controls Pairing Main Supply Antenna",2340,IF(H6="ZIGBEE Autonomous Actuators Printed or Wire Antenna",500,IF(H6="ZIGBEE Autonomous Actuators Antenna Coupled to DC Power Wire",800,IF(H6="ZIGBEE Controls for Home Printed or Wire Antenna",250,IF(H6="ZIGBEE Controls for Home Pairing Main Supply Antenna",500,IF(H6="ZIGBEE Controls for Local Printed or Wire Antenna",800,IF(H6="ZIGBEE Controls for Local Pairing Main Supply Antenna",1260,IF(H6="Product without limit associated","No limit associed","Choose Antena")))))))))))))))))))))</f>
        <v>100</v>
      </c>
      <c r="K16" s="271"/>
      <c r="L16" s="273" t="s">
        <v>31</v>
      </c>
      <c r="M16" s="273"/>
      <c r="N16" s="274">
        <f>IF(J16 = "Choose Antena","Choose Antena)",IF(J16 = "No limit associed","No limit associed)",IF(J16 = "Not defined for moment","Not defined for moment)",G16-75.01+$G$11-20*LOG(H7)+20*LOG($G$12)+$G$10)))</f>
        <v>-56.357316793275658</v>
      </c>
      <c r="O16" s="274"/>
      <c r="P16" s="274"/>
      <c r="Q16" s="274"/>
      <c r="R16" s="1"/>
      <c r="S16" s="136"/>
      <c r="T16" s="145"/>
      <c r="U16" s="145"/>
      <c r="V16" s="145"/>
      <c r="W16" s="163"/>
      <c r="X16" s="163"/>
      <c r="Y16" s="169" t="s">
        <v>86</v>
      </c>
      <c r="AC16" s="165"/>
      <c r="AD16" s="146"/>
      <c r="AE16" s="166"/>
      <c r="AF16" s="168"/>
      <c r="AG16" s="168"/>
      <c r="AH16" s="168"/>
      <c r="AI16" s="8"/>
    </row>
    <row r="17" spans="1:31" ht="12.75" customHeight="1" x14ac:dyDescent="0.2">
      <c r="A17" s="82"/>
      <c r="B17" s="82"/>
      <c r="C17" s="84"/>
      <c r="D17" s="84"/>
      <c r="E17" s="84"/>
      <c r="F17" s="84"/>
      <c r="G17" s="89"/>
      <c r="H17" s="89"/>
      <c r="I17" s="89"/>
      <c r="J17" s="272"/>
      <c r="K17" s="272"/>
      <c r="L17" s="89"/>
      <c r="M17" s="90"/>
      <c r="N17" s="90"/>
      <c r="O17" s="90"/>
      <c r="P17" s="82"/>
      <c r="Q17" s="76"/>
      <c r="R17" s="1"/>
      <c r="S17" s="136"/>
      <c r="T17" s="145"/>
      <c r="U17" s="145"/>
      <c r="V17" s="163"/>
      <c r="W17" s="163"/>
      <c r="X17" s="163"/>
      <c r="Y17" s="169" t="s">
        <v>87</v>
      </c>
      <c r="AC17" s="165"/>
      <c r="AD17" s="146"/>
      <c r="AE17" s="166"/>
    </row>
    <row r="18" spans="1:31" ht="12.75" customHeight="1" thickBot="1" x14ac:dyDescent="0.25">
      <c r="A18" s="82"/>
      <c r="B18" s="91" t="s">
        <v>40</v>
      </c>
      <c r="C18" s="82"/>
      <c r="D18" s="92"/>
      <c r="E18" s="92"/>
      <c r="F18" s="92"/>
      <c r="G18" s="92"/>
      <c r="H18" s="92"/>
      <c r="I18" s="93"/>
      <c r="J18" s="93"/>
      <c r="K18" s="93"/>
      <c r="L18" s="93"/>
      <c r="M18" s="93"/>
      <c r="N18" s="93"/>
      <c r="O18" s="93"/>
      <c r="P18" s="94"/>
      <c r="Q18" s="76"/>
      <c r="R18" s="1"/>
      <c r="S18" s="136"/>
      <c r="T18" s="145"/>
      <c r="U18" s="145"/>
      <c r="V18" s="145"/>
      <c r="W18" s="170"/>
      <c r="X18" s="145"/>
      <c r="Y18" s="160" t="s">
        <v>68</v>
      </c>
      <c r="Z18" s="145"/>
      <c r="AA18" s="147"/>
      <c r="AB18" s="147"/>
      <c r="AC18" s="165"/>
      <c r="AD18" s="146"/>
      <c r="AE18" s="166"/>
    </row>
    <row r="19" spans="1:31" ht="18" customHeight="1" thickBot="1" x14ac:dyDescent="0.25">
      <c r="A19" s="82"/>
      <c r="B19" s="95"/>
      <c r="C19" s="95"/>
      <c r="D19" s="96"/>
      <c r="E19" s="275" t="s">
        <v>43</v>
      </c>
      <c r="F19" s="276"/>
      <c r="G19" s="276"/>
      <c r="H19" s="277"/>
      <c r="I19" s="259" t="s">
        <v>50</v>
      </c>
      <c r="J19" s="257"/>
      <c r="K19" s="257"/>
      <c r="L19" s="257"/>
      <c r="M19" s="257"/>
      <c r="N19" s="257"/>
      <c r="O19" s="257"/>
      <c r="P19" s="261"/>
      <c r="Q19" s="76"/>
      <c r="R19" s="1"/>
      <c r="S19" s="136"/>
      <c r="T19" s="145"/>
      <c r="U19" s="145"/>
      <c r="V19" s="145"/>
      <c r="W19" s="170"/>
      <c r="X19" s="145"/>
      <c r="Y19" s="160" t="s">
        <v>69</v>
      </c>
      <c r="Z19" s="145"/>
      <c r="AA19" s="147"/>
      <c r="AB19" s="147"/>
      <c r="AC19" s="165"/>
      <c r="AD19" s="146"/>
      <c r="AE19" s="166"/>
    </row>
    <row r="20" spans="1:31" ht="17.25" customHeight="1" thickBot="1" x14ac:dyDescent="0.25">
      <c r="A20" s="82"/>
      <c r="B20" s="97"/>
      <c r="C20" s="95"/>
      <c r="D20" s="96"/>
      <c r="E20" s="257" t="s">
        <v>49</v>
      </c>
      <c r="F20" s="258"/>
      <c r="G20" s="259" t="s">
        <v>48</v>
      </c>
      <c r="H20" s="260"/>
      <c r="I20" s="259" t="s">
        <v>49</v>
      </c>
      <c r="J20" s="257"/>
      <c r="K20" s="257"/>
      <c r="L20" s="261"/>
      <c r="M20" s="262" t="s">
        <v>48</v>
      </c>
      <c r="N20" s="262"/>
      <c r="O20" s="262"/>
      <c r="P20" s="263"/>
      <c r="Q20" s="76"/>
      <c r="R20" s="1"/>
      <c r="S20" s="136"/>
      <c r="T20" s="145"/>
      <c r="U20" s="145"/>
      <c r="V20" s="145"/>
      <c r="W20" s="170"/>
      <c r="X20" s="145"/>
      <c r="Y20" s="164" t="s">
        <v>70</v>
      </c>
      <c r="Z20" s="145"/>
      <c r="AA20" s="145"/>
      <c r="AB20" s="145"/>
      <c r="AC20" s="171"/>
      <c r="AD20" s="146"/>
      <c r="AE20" s="166"/>
    </row>
    <row r="21" spans="1:31" ht="24" customHeight="1" thickBot="1" x14ac:dyDescent="0.25">
      <c r="A21" s="82"/>
      <c r="B21" s="259" t="s">
        <v>0</v>
      </c>
      <c r="C21" s="257"/>
      <c r="D21" s="261"/>
      <c r="E21" s="98" t="s">
        <v>29</v>
      </c>
      <c r="F21" s="99" t="s">
        <v>30</v>
      </c>
      <c r="G21" s="98" t="s">
        <v>29</v>
      </c>
      <c r="H21" s="99" t="s">
        <v>30</v>
      </c>
      <c r="I21" s="264" t="s">
        <v>46</v>
      </c>
      <c r="J21" s="259"/>
      <c r="K21" s="265" t="s">
        <v>47</v>
      </c>
      <c r="L21" s="263"/>
      <c r="M21" s="266" t="s">
        <v>46</v>
      </c>
      <c r="N21" s="267"/>
      <c r="O21" s="265" t="s">
        <v>47</v>
      </c>
      <c r="P21" s="263"/>
      <c r="Q21" s="76"/>
      <c r="R21" s="1"/>
      <c r="S21" s="136"/>
      <c r="T21" s="172"/>
      <c r="U21" s="172"/>
      <c r="V21" s="172"/>
      <c r="W21" s="173"/>
      <c r="X21" s="145"/>
      <c r="Y21" s="164" t="s">
        <v>71</v>
      </c>
      <c r="Z21" s="145"/>
      <c r="AA21" s="145"/>
      <c r="AB21" s="145"/>
      <c r="AC21" s="171"/>
      <c r="AD21" s="174"/>
      <c r="AE21" s="166"/>
    </row>
    <row r="22" spans="1:31" ht="12" customHeight="1" x14ac:dyDescent="0.2">
      <c r="B22" s="252">
        <v>0</v>
      </c>
      <c r="C22" s="253"/>
      <c r="D22" s="254"/>
      <c r="E22" s="111"/>
      <c r="F22" s="121"/>
      <c r="G22" s="112"/>
      <c r="H22" s="115"/>
      <c r="I22" s="255">
        <f>E22-$G$10-20*LOG($G$12)+20*LOG(H7)-$G$11+75.01</f>
        <v>96.357316793275658</v>
      </c>
      <c r="J22" s="256"/>
      <c r="K22" s="244">
        <f>10^(I22/20)</f>
        <v>65745.470797294751</v>
      </c>
      <c r="L22" s="245"/>
      <c r="M22" s="255">
        <f>G22-$G$10-20*LOG($G$12)+20*LOG(H7)-$G$11+75.01</f>
        <v>96.357316793275658</v>
      </c>
      <c r="N22" s="256"/>
      <c r="O22" s="244">
        <f t="shared" ref="O22:O33" si="0">10^(M22/20)</f>
        <v>65745.470797294751</v>
      </c>
      <c r="P22" s="245"/>
      <c r="Q22" s="1"/>
      <c r="R22" s="1"/>
      <c r="S22" s="136"/>
      <c r="T22" s="175">
        <f>$G$16</f>
        <v>40</v>
      </c>
      <c r="U22" s="172"/>
      <c r="V22" s="172"/>
      <c r="W22" s="172"/>
      <c r="X22" s="145"/>
      <c r="Y22" s="160" t="s">
        <v>80</v>
      </c>
      <c r="Z22" s="172"/>
      <c r="AA22" s="172"/>
      <c r="AB22" s="172"/>
      <c r="AC22" s="143"/>
      <c r="AD22" s="174"/>
      <c r="AE22" s="166"/>
    </row>
    <row r="23" spans="1:31" ht="12" customHeight="1" x14ac:dyDescent="0.2">
      <c r="B23" s="246">
        <v>30</v>
      </c>
      <c r="C23" s="247"/>
      <c r="D23" s="248"/>
      <c r="E23" s="111" t="s">
        <v>52</v>
      </c>
      <c r="F23" s="122"/>
      <c r="G23" s="112" t="s">
        <v>52</v>
      </c>
      <c r="H23" s="116"/>
      <c r="I23" s="249" t="e">
        <f>E23-$G$10-20*LOG($G$12)+20*LOG(H7)-$G$11+75.01</f>
        <v>#VALUE!</v>
      </c>
      <c r="J23" s="250"/>
      <c r="K23" s="228" t="e">
        <f t="shared" ref="K23:K33" si="1">10^(I23/20)</f>
        <v>#VALUE!</v>
      </c>
      <c r="L23" s="229"/>
      <c r="M23" s="249" t="e">
        <f>G23-$G$10-20*LOG($G$12)+20*LOG(H7)-$G$11+75.01</f>
        <v>#VALUE!</v>
      </c>
      <c r="N23" s="250"/>
      <c r="O23" s="228" t="e">
        <f t="shared" si="0"/>
        <v>#VALUE!</v>
      </c>
      <c r="P23" s="229"/>
      <c r="Q23" s="1"/>
      <c r="R23" s="1"/>
      <c r="S23" s="136"/>
      <c r="T23" s="175">
        <f t="shared" ref="T23:T33" si="2">$G$16</f>
        <v>40</v>
      </c>
      <c r="U23" s="172"/>
      <c r="V23" s="172"/>
      <c r="W23" s="172"/>
      <c r="X23" s="145"/>
      <c r="Y23" s="160" t="s">
        <v>78</v>
      </c>
      <c r="Z23" s="145"/>
      <c r="AA23" s="145"/>
      <c r="AB23" s="145"/>
      <c r="AC23" s="171"/>
      <c r="AD23" s="174"/>
      <c r="AE23" s="166"/>
    </row>
    <row r="24" spans="1:31" ht="12" customHeight="1" x14ac:dyDescent="0.2">
      <c r="B24" s="246">
        <v>60</v>
      </c>
      <c r="C24" s="247"/>
      <c r="D24" s="248"/>
      <c r="E24" s="111" t="s">
        <v>52</v>
      </c>
      <c r="F24" s="122"/>
      <c r="G24" s="112" t="s">
        <v>52</v>
      </c>
      <c r="H24" s="116"/>
      <c r="I24" s="249" t="e">
        <f>E24-$G$10-20*LOG($G$12)+20*LOG(H7)-$G$11+75.01</f>
        <v>#VALUE!</v>
      </c>
      <c r="J24" s="250"/>
      <c r="K24" s="228" t="e">
        <f t="shared" si="1"/>
        <v>#VALUE!</v>
      </c>
      <c r="L24" s="229"/>
      <c r="M24" s="249" t="e">
        <f>G24-$G$10-20*LOG($G$12)+20*LOG(H7)-$G$11+75.01</f>
        <v>#VALUE!</v>
      </c>
      <c r="N24" s="250"/>
      <c r="O24" s="228" t="e">
        <f t="shared" si="0"/>
        <v>#VALUE!</v>
      </c>
      <c r="P24" s="229"/>
      <c r="Q24" s="1"/>
      <c r="R24" s="1"/>
      <c r="S24" s="136"/>
      <c r="T24" s="175">
        <f t="shared" si="2"/>
        <v>40</v>
      </c>
      <c r="U24" s="172"/>
      <c r="V24" s="172"/>
      <c r="W24" s="172"/>
      <c r="X24" s="145"/>
      <c r="Y24" s="160" t="s">
        <v>81</v>
      </c>
      <c r="AC24" s="143"/>
      <c r="AD24" s="174"/>
      <c r="AE24" s="166"/>
    </row>
    <row r="25" spans="1:31" ht="12" customHeight="1" x14ac:dyDescent="0.2">
      <c r="B25" s="246">
        <v>90</v>
      </c>
      <c r="C25" s="247"/>
      <c r="D25" s="248"/>
      <c r="E25" s="111" t="s">
        <v>52</v>
      </c>
      <c r="F25" s="122"/>
      <c r="G25" s="112" t="s">
        <v>52</v>
      </c>
      <c r="H25" s="116"/>
      <c r="I25" s="249" t="e">
        <f>E25-$G$10-20*LOG($G$12)+20*LOG(H7)-$G$11+75.01</f>
        <v>#VALUE!</v>
      </c>
      <c r="J25" s="250"/>
      <c r="K25" s="228" t="e">
        <f t="shared" si="1"/>
        <v>#VALUE!</v>
      </c>
      <c r="L25" s="229"/>
      <c r="M25" s="249" t="e">
        <f>G25-$G$10-20*LOG($G$12)+20*LOG(H7)-$G$11+75.01</f>
        <v>#VALUE!</v>
      </c>
      <c r="N25" s="250"/>
      <c r="O25" s="228" t="e">
        <f t="shared" si="0"/>
        <v>#VALUE!</v>
      </c>
      <c r="P25" s="229"/>
      <c r="Q25" s="1"/>
      <c r="R25" s="1"/>
      <c r="S25" s="136"/>
      <c r="T25" s="175">
        <f t="shared" si="2"/>
        <v>40</v>
      </c>
      <c r="U25" s="316"/>
      <c r="V25" s="316"/>
      <c r="W25" s="172"/>
      <c r="X25" s="145"/>
      <c r="Y25" s="160" t="s">
        <v>82</v>
      </c>
      <c r="Z25" s="172"/>
      <c r="AA25" s="172"/>
      <c r="AB25" s="172"/>
      <c r="AC25" s="143"/>
      <c r="AD25" s="174"/>
      <c r="AE25" s="166"/>
    </row>
    <row r="26" spans="1:31" ht="12" customHeight="1" x14ac:dyDescent="0.2">
      <c r="B26" s="246">
        <v>120</v>
      </c>
      <c r="C26" s="247"/>
      <c r="D26" s="248"/>
      <c r="E26" s="111" t="s">
        <v>52</v>
      </c>
      <c r="F26" s="122"/>
      <c r="G26" s="112" t="s">
        <v>52</v>
      </c>
      <c r="H26" s="116"/>
      <c r="I26" s="249" t="e">
        <f>E26-$G$10-20*LOG($G$12)+20*LOG(H7)-$G$11+75.01</f>
        <v>#VALUE!</v>
      </c>
      <c r="J26" s="250"/>
      <c r="K26" s="228" t="e">
        <f t="shared" si="1"/>
        <v>#VALUE!</v>
      </c>
      <c r="L26" s="229"/>
      <c r="M26" s="249" t="e">
        <f>G26-$G$10-20*LOG($G$12)+20*LOG(H7)-$G$11+75.01</f>
        <v>#VALUE!</v>
      </c>
      <c r="N26" s="250"/>
      <c r="O26" s="228" t="e">
        <f t="shared" si="0"/>
        <v>#VALUE!</v>
      </c>
      <c r="P26" s="229"/>
      <c r="Q26" s="1"/>
      <c r="R26" s="1"/>
      <c r="S26" s="136"/>
      <c r="T26" s="175">
        <f t="shared" si="2"/>
        <v>40</v>
      </c>
      <c r="U26" s="172"/>
      <c r="V26" s="172"/>
      <c r="W26" s="172"/>
      <c r="X26" s="145"/>
      <c r="Y26" s="160" t="s">
        <v>83</v>
      </c>
      <c r="AC26" s="143"/>
      <c r="AD26" s="174"/>
      <c r="AE26" s="166"/>
    </row>
    <row r="27" spans="1:31" ht="12" customHeight="1" x14ac:dyDescent="0.2">
      <c r="B27" s="246">
        <v>150</v>
      </c>
      <c r="C27" s="247"/>
      <c r="D27" s="248"/>
      <c r="E27" s="111" t="s">
        <v>52</v>
      </c>
      <c r="F27" s="122"/>
      <c r="G27" s="112" t="s">
        <v>52</v>
      </c>
      <c r="H27" s="116"/>
      <c r="I27" s="249" t="e">
        <f>E27-$G$10-20*LOG($G$12)+20*LOG(H7)-$G$11+75.01</f>
        <v>#VALUE!</v>
      </c>
      <c r="J27" s="250"/>
      <c r="K27" s="228" t="e">
        <f t="shared" si="1"/>
        <v>#VALUE!</v>
      </c>
      <c r="L27" s="229"/>
      <c r="M27" s="249" t="e">
        <f>G27-$G$10-20*LOG($G$12)+20*LOG(H7)-$G$11+75.01</f>
        <v>#VALUE!</v>
      </c>
      <c r="N27" s="250"/>
      <c r="O27" s="228" t="e">
        <f t="shared" si="0"/>
        <v>#VALUE!</v>
      </c>
      <c r="P27" s="229"/>
      <c r="Q27" s="1"/>
      <c r="R27" s="1"/>
      <c r="S27" s="136"/>
      <c r="T27" s="175">
        <f t="shared" si="2"/>
        <v>40</v>
      </c>
      <c r="U27" s="172"/>
      <c r="V27" s="172"/>
      <c r="W27" s="172"/>
      <c r="X27" s="145"/>
      <c r="Y27" s="160" t="s">
        <v>79</v>
      </c>
      <c r="AC27" s="143"/>
      <c r="AD27" s="174"/>
      <c r="AE27" s="166"/>
    </row>
    <row r="28" spans="1:31" ht="12" customHeight="1" x14ac:dyDescent="0.2">
      <c r="B28" s="246">
        <v>180</v>
      </c>
      <c r="C28" s="247"/>
      <c r="D28" s="248"/>
      <c r="E28" s="111" t="s">
        <v>52</v>
      </c>
      <c r="F28" s="122"/>
      <c r="G28" s="112" t="s">
        <v>52</v>
      </c>
      <c r="H28" s="116"/>
      <c r="I28" s="249" t="e">
        <f>E28-$G$10-20*LOG($G$12)+20*LOG(H7)-$G$11+75.01</f>
        <v>#VALUE!</v>
      </c>
      <c r="J28" s="250"/>
      <c r="K28" s="228" t="e">
        <f t="shared" si="1"/>
        <v>#VALUE!</v>
      </c>
      <c r="L28" s="229"/>
      <c r="M28" s="249" t="e">
        <f>G28-$G$10-20*LOG($G$12)+20*LOG(H7)-$G$11+75.01</f>
        <v>#VALUE!</v>
      </c>
      <c r="N28" s="250"/>
      <c r="O28" s="228" t="e">
        <f t="shared" si="0"/>
        <v>#VALUE!</v>
      </c>
      <c r="P28" s="229"/>
      <c r="Q28" s="1"/>
      <c r="R28" s="1"/>
      <c r="S28" s="136"/>
      <c r="T28" s="175">
        <f t="shared" si="2"/>
        <v>40</v>
      </c>
      <c r="U28" s="172"/>
      <c r="V28" s="172"/>
      <c r="W28" s="172"/>
      <c r="X28" s="145"/>
      <c r="Y28" s="160" t="s">
        <v>74</v>
      </c>
      <c r="Z28" s="145"/>
      <c r="AA28" s="145"/>
      <c r="AB28" s="145"/>
      <c r="AC28" s="171"/>
      <c r="AD28" s="174"/>
      <c r="AE28" s="166"/>
    </row>
    <row r="29" spans="1:31" ht="12" customHeight="1" x14ac:dyDescent="0.2">
      <c r="B29" s="246">
        <v>210</v>
      </c>
      <c r="C29" s="247"/>
      <c r="D29" s="248"/>
      <c r="E29" s="111" t="s">
        <v>52</v>
      </c>
      <c r="F29" s="122"/>
      <c r="G29" s="112" t="s">
        <v>52</v>
      </c>
      <c r="H29" s="116"/>
      <c r="I29" s="249" t="e">
        <f>E29-$G$10-20*LOG($G$12)+20*LOG(H7)-$G$11+75.01</f>
        <v>#VALUE!</v>
      </c>
      <c r="J29" s="250"/>
      <c r="K29" s="228" t="e">
        <f t="shared" si="1"/>
        <v>#VALUE!</v>
      </c>
      <c r="L29" s="229"/>
      <c r="M29" s="249" t="e">
        <f>G29-$G$10-20*LOG($G$12)+20*LOG(H7)-$G$11+75.01</f>
        <v>#VALUE!</v>
      </c>
      <c r="N29" s="250"/>
      <c r="O29" s="228" t="e">
        <f t="shared" si="0"/>
        <v>#VALUE!</v>
      </c>
      <c r="P29" s="229"/>
      <c r="Q29" s="1"/>
      <c r="R29" s="1"/>
      <c r="S29" s="136"/>
      <c r="T29" s="175">
        <f t="shared" si="2"/>
        <v>40</v>
      </c>
      <c r="U29" s="172"/>
      <c r="V29" s="172"/>
      <c r="W29" s="172"/>
      <c r="X29" s="172"/>
      <c r="Y29" s="160" t="s">
        <v>75</v>
      </c>
      <c r="Z29" s="172"/>
      <c r="AA29" s="172"/>
      <c r="AB29" s="172"/>
      <c r="AC29" s="143"/>
      <c r="AD29" s="174"/>
      <c r="AE29" s="166"/>
    </row>
    <row r="30" spans="1:31" ht="12" customHeight="1" x14ac:dyDescent="0.2">
      <c r="B30" s="246">
        <v>240</v>
      </c>
      <c r="C30" s="247"/>
      <c r="D30" s="248"/>
      <c r="E30" s="111" t="s">
        <v>52</v>
      </c>
      <c r="F30" s="122"/>
      <c r="G30" s="112" t="s">
        <v>52</v>
      </c>
      <c r="H30" s="116"/>
      <c r="I30" s="249" t="e">
        <f>E30-$G$10-20*LOG($G$12)+20*LOG(H7)-$G$11+75.01</f>
        <v>#VALUE!</v>
      </c>
      <c r="J30" s="250"/>
      <c r="K30" s="228" t="e">
        <f t="shared" si="1"/>
        <v>#VALUE!</v>
      </c>
      <c r="L30" s="229"/>
      <c r="M30" s="249" t="e">
        <f>G30-$G$10-20*LOG($G$12)+20*LOG(H7)-$G$11+75.01</f>
        <v>#VALUE!</v>
      </c>
      <c r="N30" s="250"/>
      <c r="O30" s="228" t="e">
        <f t="shared" si="0"/>
        <v>#VALUE!</v>
      </c>
      <c r="P30" s="229"/>
      <c r="Q30" s="1"/>
      <c r="R30" s="1"/>
      <c r="S30" s="136"/>
      <c r="T30" s="175">
        <f t="shared" si="2"/>
        <v>40</v>
      </c>
      <c r="U30" s="172"/>
      <c r="V30" s="172"/>
      <c r="W30" s="172"/>
      <c r="X30" s="172"/>
      <c r="Y30" s="160" t="s">
        <v>76</v>
      </c>
      <c r="Z30" s="172"/>
      <c r="AA30" s="172"/>
      <c r="AB30" s="172"/>
      <c r="AC30" s="143"/>
      <c r="AD30" s="174"/>
      <c r="AE30" s="166"/>
    </row>
    <row r="31" spans="1:31" ht="12" customHeight="1" x14ac:dyDescent="0.2">
      <c r="B31" s="246">
        <v>270</v>
      </c>
      <c r="C31" s="247"/>
      <c r="D31" s="248"/>
      <c r="E31" s="111" t="s">
        <v>52</v>
      </c>
      <c r="F31" s="122"/>
      <c r="G31" s="113" t="s">
        <v>52</v>
      </c>
      <c r="H31" s="116"/>
      <c r="I31" s="249" t="e">
        <f>E31-$G$10-20*LOG($G$12)+20*LOG(H7)-$G$11+75.01</f>
        <v>#VALUE!</v>
      </c>
      <c r="J31" s="250"/>
      <c r="K31" s="228" t="e">
        <f t="shared" si="1"/>
        <v>#VALUE!</v>
      </c>
      <c r="L31" s="229"/>
      <c r="M31" s="249" t="e">
        <f>G31-$G$10-20*LOG($G$12)+20*LOG(H7)-$G$11+75.01</f>
        <v>#VALUE!</v>
      </c>
      <c r="N31" s="250"/>
      <c r="O31" s="228" t="e">
        <f t="shared" si="0"/>
        <v>#VALUE!</v>
      </c>
      <c r="P31" s="229"/>
      <c r="Q31" s="1"/>
      <c r="R31" s="1"/>
      <c r="S31" s="136"/>
      <c r="T31" s="175">
        <f t="shared" si="2"/>
        <v>40</v>
      </c>
      <c r="U31" s="176"/>
      <c r="V31" s="172"/>
      <c r="W31" s="172"/>
      <c r="X31" s="172"/>
      <c r="Y31" s="160" t="s">
        <v>77</v>
      </c>
      <c r="Z31" s="172"/>
      <c r="AA31" s="172"/>
      <c r="AB31" s="172"/>
      <c r="AC31" s="143"/>
      <c r="AD31" s="174"/>
      <c r="AE31" s="166"/>
    </row>
    <row r="32" spans="1:31" ht="12" customHeight="1" x14ac:dyDescent="0.2">
      <c r="B32" s="246">
        <v>300</v>
      </c>
      <c r="C32" s="247"/>
      <c r="D32" s="248"/>
      <c r="E32" s="111" t="s">
        <v>52</v>
      </c>
      <c r="F32" s="122"/>
      <c r="G32" s="113" t="s">
        <v>52</v>
      </c>
      <c r="H32" s="116"/>
      <c r="I32" s="249" t="e">
        <f>E32-$G$10-20*LOG($G$12)+20*LOG(H7)-$G$11+75.01</f>
        <v>#VALUE!</v>
      </c>
      <c r="J32" s="250"/>
      <c r="K32" s="228" t="e">
        <f t="shared" si="1"/>
        <v>#VALUE!</v>
      </c>
      <c r="L32" s="229"/>
      <c r="M32" s="249" t="e">
        <f>G32-$G$10-20*LOG($G$12)+20*LOG(H7)-$G$11+75.01</f>
        <v>#VALUE!</v>
      </c>
      <c r="N32" s="250"/>
      <c r="O32" s="228" t="e">
        <f t="shared" si="0"/>
        <v>#VALUE!</v>
      </c>
      <c r="P32" s="229"/>
      <c r="Q32" s="1"/>
      <c r="R32" s="1"/>
      <c r="S32" s="136"/>
      <c r="T32" s="175">
        <f t="shared" si="2"/>
        <v>40</v>
      </c>
      <c r="U32" s="176"/>
      <c r="V32" s="172"/>
      <c r="W32" s="172"/>
      <c r="X32" s="172"/>
      <c r="Y32" s="177" t="s">
        <v>59</v>
      </c>
      <c r="Z32" s="178"/>
      <c r="AA32" s="178"/>
      <c r="AB32" s="178"/>
      <c r="AC32" s="179"/>
      <c r="AD32" s="180"/>
      <c r="AE32" s="166"/>
    </row>
    <row r="33" spans="2:35" ht="12" customHeight="1" thickBot="1" x14ac:dyDescent="0.25">
      <c r="B33" s="231">
        <v>330</v>
      </c>
      <c r="C33" s="232"/>
      <c r="D33" s="233"/>
      <c r="E33" s="114" t="s">
        <v>52</v>
      </c>
      <c r="F33" s="123"/>
      <c r="G33" s="113" t="s">
        <v>52</v>
      </c>
      <c r="H33" s="117"/>
      <c r="I33" s="234" t="e">
        <f>E33-$G$10-20*LOG($G$12)+20*LOG(H7)-$G$11+75.01</f>
        <v>#VALUE!</v>
      </c>
      <c r="J33" s="235"/>
      <c r="K33" s="236" t="e">
        <f t="shared" si="1"/>
        <v>#VALUE!</v>
      </c>
      <c r="L33" s="237"/>
      <c r="M33" s="238" t="e">
        <f>G33-$G$10-20*LOG($G$12)+20*LOG(H7)-$G$11+75.01</f>
        <v>#VALUE!</v>
      </c>
      <c r="N33" s="239"/>
      <c r="O33" s="236" t="e">
        <f t="shared" si="0"/>
        <v>#VALUE!</v>
      </c>
      <c r="P33" s="237"/>
      <c r="Q33" s="1"/>
      <c r="R33" s="1"/>
      <c r="S33" s="136"/>
      <c r="T33" s="175">
        <f t="shared" si="2"/>
        <v>40</v>
      </c>
      <c r="U33" s="176"/>
      <c r="V33" s="172"/>
      <c r="W33" s="172"/>
      <c r="X33" s="172"/>
      <c r="Y33" s="172"/>
      <c r="Z33" s="174"/>
      <c r="AA33" s="180"/>
      <c r="AB33" s="180"/>
      <c r="AC33" s="180"/>
      <c r="AD33" s="180"/>
      <c r="AE33" s="166"/>
      <c r="AF33" s="168"/>
      <c r="AG33" s="168"/>
      <c r="AH33" s="168"/>
      <c r="AI33" s="8"/>
    </row>
    <row r="34" spans="2:35" ht="35.25" customHeight="1" x14ac:dyDescent="0.2">
      <c r="B34" s="240" t="s">
        <v>39</v>
      </c>
      <c r="C34" s="241"/>
      <c r="D34" s="241"/>
      <c r="E34" s="32" t="e">
        <f>AVERAGE($E$22:$E$33)</f>
        <v>#DIV/0!</v>
      </c>
      <c r="F34" s="124" t="e">
        <f>AVERAGE($F$22:$F$33)</f>
        <v>#DIV/0!</v>
      </c>
      <c r="G34" s="37" t="e">
        <f>AVERAGE($G$22:$G$33)</f>
        <v>#DIV/0!</v>
      </c>
      <c r="H34" s="118" t="e">
        <f>AVERAGE($H$22:$H$33)</f>
        <v>#DIV/0!</v>
      </c>
      <c r="I34" s="242" t="e">
        <f>E34-$G$10-20*LOG($G$12)+20*LOG(H7)-$G$11+75.01</f>
        <v>#DIV/0!</v>
      </c>
      <c r="J34" s="243"/>
      <c r="K34" s="244" t="e">
        <f>10^(I34/20)</f>
        <v>#DIV/0!</v>
      </c>
      <c r="L34" s="245"/>
      <c r="M34" s="242" t="e">
        <f>G34-$G$10-20*LOG($G$12)+20*LOG(H7)-$G$11+75.01</f>
        <v>#DIV/0!</v>
      </c>
      <c r="N34" s="243"/>
      <c r="O34" s="244" t="e">
        <f>10^(M34/20)</f>
        <v>#DIV/0!</v>
      </c>
      <c r="P34" s="245"/>
      <c r="Q34" s="1"/>
      <c r="R34" s="1"/>
      <c r="S34" s="181"/>
      <c r="T34" s="182"/>
      <c r="U34" s="183"/>
      <c r="V34" s="178"/>
      <c r="W34" s="178"/>
      <c r="X34" s="178"/>
      <c r="Y34" s="178"/>
      <c r="Z34" s="184"/>
      <c r="AA34" s="185"/>
      <c r="AB34" s="185"/>
      <c r="AC34" s="185"/>
      <c r="AD34" s="185"/>
      <c r="AE34" s="186"/>
      <c r="AF34" s="168"/>
      <c r="AG34" s="168"/>
      <c r="AH34" s="168"/>
      <c r="AI34" s="8"/>
    </row>
    <row r="35" spans="2:35" ht="25.5" customHeight="1" x14ac:dyDescent="0.2">
      <c r="B35" s="224" t="s">
        <v>23</v>
      </c>
      <c r="C35" s="225"/>
      <c r="D35" s="225"/>
      <c r="E35" s="34">
        <f>MAX($E$22:$E$33)</f>
        <v>0</v>
      </c>
      <c r="F35" s="125">
        <f>MAX($F$22:$F$33)</f>
        <v>0</v>
      </c>
      <c r="G35" s="33">
        <f>MAX($G$22:$G$33)</f>
        <v>0</v>
      </c>
      <c r="H35" s="119">
        <f>MAX($H$22:$H$33)</f>
        <v>0</v>
      </c>
      <c r="I35" s="226">
        <f>E35-$G$10-20*LOG($G$12)+20*LOG(H7)-$G$11+75.01</f>
        <v>96.357316793275658</v>
      </c>
      <c r="J35" s="227"/>
      <c r="K35" s="228">
        <f>10^(I35/20)</f>
        <v>65745.470797294751</v>
      </c>
      <c r="L35" s="229"/>
      <c r="M35" s="226">
        <f>G35-$G$10-20*LOG($G$12)+20*LOG(H7)-$G$11+75.01</f>
        <v>96.357316793275658</v>
      </c>
      <c r="N35" s="227"/>
      <c r="O35" s="228">
        <f>10^(M35/20)</f>
        <v>65745.470797294751</v>
      </c>
      <c r="P35" s="229"/>
      <c r="Q35" s="1"/>
      <c r="R35" s="1"/>
      <c r="S35" s="315"/>
      <c r="T35" s="315"/>
      <c r="U35" s="315"/>
      <c r="V35" s="315"/>
      <c r="W35" s="315"/>
      <c r="X35" s="315"/>
      <c r="Z35" s="187"/>
      <c r="AA35" s="167"/>
      <c r="AB35" s="167"/>
      <c r="AC35" s="167"/>
      <c r="AD35" s="167"/>
      <c r="AF35" s="168"/>
      <c r="AG35" s="168"/>
      <c r="AH35" s="168"/>
      <c r="AI35" s="8"/>
    </row>
    <row r="36" spans="2:35" ht="25.5" customHeight="1" thickBot="1" x14ac:dyDescent="0.25">
      <c r="B36" s="217" t="s">
        <v>24</v>
      </c>
      <c r="C36" s="218"/>
      <c r="D36" s="218"/>
      <c r="E36" s="36">
        <f>MIN($E$22:$E$33)</f>
        <v>0</v>
      </c>
      <c r="F36" s="126">
        <f>MIN($F$22:$F$33)</f>
        <v>0</v>
      </c>
      <c r="G36" s="35">
        <f>MIN($G$22:$G$33)</f>
        <v>0</v>
      </c>
      <c r="H36" s="120">
        <f>MIN($H$22:$H$33)</f>
        <v>0</v>
      </c>
      <c r="I36" s="219">
        <f>E36-$G$10-20*LOG($G$12)+20*LOG(H7)-$G$11+75.01</f>
        <v>96.357316793275658</v>
      </c>
      <c r="J36" s="220"/>
      <c r="K36" s="221">
        <f>10^(I36/20)</f>
        <v>65745.470797294751</v>
      </c>
      <c r="L36" s="222"/>
      <c r="M36" s="219">
        <f>G36-$G$10-20*LOG($G$12)+20*LOG(H7)-$G$11+75.01</f>
        <v>96.357316793275658</v>
      </c>
      <c r="N36" s="220"/>
      <c r="O36" s="221">
        <f>10^(M36/20)</f>
        <v>65745.470797294751</v>
      </c>
      <c r="P36" s="222"/>
      <c r="Q36" s="1"/>
      <c r="R36" s="1"/>
      <c r="S36" s="172"/>
      <c r="T36" s="314" t="s">
        <v>62</v>
      </c>
      <c r="U36" s="314"/>
      <c r="V36" s="314"/>
      <c r="W36" s="312" t="s">
        <v>61</v>
      </c>
      <c r="X36" s="312"/>
      <c r="Y36" s="312"/>
      <c r="Z36" s="312"/>
      <c r="AA36" s="312"/>
      <c r="AB36" s="312"/>
      <c r="AC36" s="312"/>
      <c r="AD36" s="312"/>
      <c r="AI36" s="8"/>
    </row>
    <row r="37" spans="2:35" ht="12.75" customHeight="1" x14ac:dyDescent="0.2">
      <c r="B37" s="13" t="s">
        <v>35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1"/>
      <c r="R37" s="1"/>
      <c r="S37" s="172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8"/>
    </row>
    <row r="38" spans="2:35" ht="12.75" customHeight="1" x14ac:dyDescent="0.2">
      <c r="B38" s="29" t="s">
        <v>36</v>
      </c>
      <c r="C38" s="9"/>
      <c r="D38" s="9"/>
      <c r="E38" s="9"/>
      <c r="F38" s="9"/>
      <c r="G38" s="9"/>
      <c r="H38" s="9"/>
      <c r="I38" s="30"/>
      <c r="J38" s="29" t="s">
        <v>37</v>
      </c>
      <c r="K38" s="1"/>
      <c r="L38" s="9"/>
      <c r="M38" s="9"/>
      <c r="N38" s="1"/>
      <c r="O38" s="1"/>
      <c r="P38" s="1"/>
      <c r="Q38" s="1"/>
      <c r="V38" s="167"/>
      <c r="W38" s="167"/>
      <c r="X38" s="167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8"/>
    </row>
    <row r="39" spans="2:35" ht="12.75" customHeight="1" thickBot="1" x14ac:dyDescent="0.25">
      <c r="C39" s="9"/>
      <c r="D39" s="9"/>
      <c r="E39" s="9"/>
      <c r="F39" s="9"/>
      <c r="G39" s="9"/>
      <c r="H39" s="9"/>
      <c r="I39" s="30"/>
      <c r="J39" s="9"/>
      <c r="K39" s="1"/>
      <c r="L39" s="1"/>
      <c r="M39" s="9"/>
      <c r="N39" s="9"/>
      <c r="O39" s="1"/>
      <c r="P39" s="1"/>
      <c r="Q39" s="1"/>
      <c r="R39" s="1"/>
      <c r="V39" s="167"/>
      <c r="W39" s="167"/>
      <c r="X39" s="167"/>
      <c r="Y39" s="167"/>
      <c r="Z39" s="168"/>
      <c r="AA39" s="168"/>
      <c r="AB39" s="168"/>
      <c r="AC39" s="168"/>
      <c r="AD39" s="168"/>
      <c r="AE39" s="168"/>
      <c r="AF39" s="168"/>
      <c r="AG39" s="168"/>
      <c r="AH39" s="168"/>
      <c r="AI39" s="8"/>
    </row>
    <row r="40" spans="2:35" ht="12.75" customHeight="1" thickBot="1" x14ac:dyDescent="0.25">
      <c r="C40" s="9"/>
      <c r="D40" s="9"/>
      <c r="E40" s="9"/>
      <c r="F40" s="9"/>
      <c r="G40" s="9"/>
      <c r="H40" s="9"/>
      <c r="I40" s="30"/>
      <c r="J40" s="9"/>
      <c r="K40" s="197" t="s">
        <v>19</v>
      </c>
      <c r="L40" s="198"/>
      <c r="M40" s="199" t="s">
        <v>16</v>
      </c>
      <c r="N40" s="200"/>
      <c r="O40" s="199" t="s">
        <v>25</v>
      </c>
      <c r="P40" s="201"/>
      <c r="Q40" s="1"/>
      <c r="R40" s="1"/>
      <c r="X40" s="187"/>
      <c r="Y40" s="167"/>
      <c r="Z40" s="168"/>
      <c r="AA40" s="168"/>
      <c r="AB40" s="168"/>
      <c r="AC40" s="168"/>
      <c r="AD40" s="168"/>
      <c r="AE40" s="168"/>
      <c r="AF40" s="168"/>
      <c r="AG40" s="168"/>
      <c r="AH40" s="168"/>
      <c r="AI40" s="8"/>
    </row>
    <row r="41" spans="2:35" ht="12.75" customHeight="1" x14ac:dyDescent="0.2">
      <c r="C41" s="9"/>
      <c r="D41" s="9"/>
      <c r="E41" s="9"/>
      <c r="F41" s="9"/>
      <c r="G41" s="9"/>
      <c r="H41" s="9"/>
      <c r="I41" s="30"/>
      <c r="J41" s="9"/>
      <c r="K41" s="202"/>
      <c r="L41" s="203"/>
      <c r="M41" s="208" t="s">
        <v>17</v>
      </c>
      <c r="N41" s="209"/>
      <c r="O41" s="210" t="str" cm="1">
        <f t="array" ref="O41">IF(OR(E22:E33="Enter value",G22:G33="Enter value"),"Enter value",MIN(E22:E33,G22:G33))</f>
        <v>Enter value</v>
      </c>
      <c r="P41" s="211"/>
      <c r="Q41" s="9"/>
      <c r="R41" s="9"/>
      <c r="S41" s="168"/>
      <c r="X41" s="187"/>
      <c r="Y41" s="167"/>
      <c r="Z41" s="167"/>
      <c r="AA41" s="167"/>
      <c r="AB41" s="167"/>
      <c r="AC41" s="167"/>
      <c r="AD41" s="168"/>
      <c r="AE41" s="168"/>
      <c r="AF41" s="168"/>
      <c r="AG41" s="168"/>
      <c r="AH41" s="168"/>
      <c r="AI41" s="8"/>
    </row>
    <row r="42" spans="2:35" ht="12.75" customHeight="1" thickBot="1" x14ac:dyDescent="0.25">
      <c r="C42" s="9"/>
      <c r="D42" s="9"/>
      <c r="E42" s="9"/>
      <c r="F42" s="9"/>
      <c r="G42" s="9"/>
      <c r="H42" s="9"/>
      <c r="I42" s="30"/>
      <c r="J42" s="9"/>
      <c r="K42" s="204"/>
      <c r="L42" s="205"/>
      <c r="M42" s="212" t="s">
        <v>18</v>
      </c>
      <c r="N42" s="213"/>
      <c r="O42" s="214" t="s">
        <v>52</v>
      </c>
      <c r="P42" s="215"/>
      <c r="Q42" s="1"/>
      <c r="R42" s="1"/>
      <c r="U42" s="313" t="s">
        <v>55</v>
      </c>
      <c r="V42" s="313"/>
      <c r="W42" s="313"/>
      <c r="X42" s="313"/>
      <c r="Y42" s="313"/>
      <c r="Z42" s="313"/>
      <c r="AA42" s="313"/>
      <c r="AB42" s="188"/>
      <c r="AC42" s="188"/>
      <c r="AD42" s="189"/>
      <c r="AE42" s="189"/>
      <c r="AF42" s="189"/>
      <c r="AG42" s="189"/>
      <c r="AH42" s="168"/>
      <c r="AI42" s="8"/>
    </row>
    <row r="43" spans="2:35" ht="12.75" customHeight="1" thickBot="1" x14ac:dyDescent="0.25">
      <c r="C43" s="9"/>
      <c r="D43" s="9"/>
      <c r="E43" s="9"/>
      <c r="F43" s="9"/>
      <c r="G43" s="9"/>
      <c r="H43" s="9"/>
      <c r="I43" s="30"/>
      <c r="J43" s="9"/>
      <c r="K43" s="206"/>
      <c r="L43" s="207"/>
      <c r="M43" s="190" t="s">
        <v>51</v>
      </c>
      <c r="N43" s="191"/>
      <c r="O43" s="192" t="str">
        <f>IF(OR(O41="Enter value",O42="Enter value"),"",ABS(O42-O41))</f>
        <v/>
      </c>
      <c r="P43" s="193"/>
      <c r="Q43" s="9"/>
      <c r="R43" s="9"/>
      <c r="S43" s="168"/>
      <c r="T43" s="168"/>
      <c r="U43" s="168"/>
      <c r="V43" s="310" t="s">
        <v>56</v>
      </c>
      <c r="W43" s="310"/>
      <c r="X43" s="310"/>
      <c r="Y43" s="310"/>
      <c r="Z43" s="310"/>
      <c r="AA43" s="310"/>
      <c r="AB43" s="310"/>
      <c r="AC43" s="310"/>
      <c r="AD43" s="310"/>
      <c r="AE43" s="310"/>
      <c r="AF43" s="310"/>
      <c r="AG43" s="189"/>
      <c r="AH43" s="168"/>
      <c r="AI43" s="8"/>
    </row>
    <row r="44" spans="2:35" ht="12.75" customHeight="1" x14ac:dyDescent="0.2">
      <c r="C44" s="9"/>
      <c r="D44" s="9"/>
      <c r="E44" s="9"/>
      <c r="F44" s="9"/>
      <c r="G44" s="9"/>
      <c r="H44" s="9"/>
      <c r="I44" s="30"/>
      <c r="J44" s="9"/>
      <c r="K44" s="9"/>
      <c r="L44" s="9"/>
      <c r="M44" s="9"/>
      <c r="N44" s="9"/>
      <c r="O44" s="9"/>
      <c r="P44" s="9"/>
      <c r="Q44" s="9"/>
      <c r="R44" s="9"/>
      <c r="S44" s="168"/>
      <c r="T44" s="168"/>
      <c r="U44" s="168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68"/>
      <c r="AI44" s="8"/>
    </row>
    <row r="45" spans="2:35" ht="12.75" customHeight="1" x14ac:dyDescent="0.2">
      <c r="C45" s="9"/>
      <c r="D45" s="9"/>
      <c r="E45" s="9"/>
      <c r="F45" s="9"/>
      <c r="G45" s="9"/>
      <c r="H45" s="9"/>
      <c r="I45" s="30"/>
      <c r="J45" s="9"/>
      <c r="K45" s="9"/>
      <c r="L45" s="9"/>
      <c r="M45" s="9"/>
      <c r="N45" s="9"/>
      <c r="O45" s="9"/>
      <c r="P45" s="9"/>
      <c r="Q45" s="1"/>
      <c r="R45" s="1"/>
      <c r="U45" s="187"/>
      <c r="V45" s="311" t="s">
        <v>54</v>
      </c>
      <c r="W45" s="311"/>
      <c r="X45" s="311"/>
      <c r="Y45" s="311"/>
      <c r="Z45" s="311"/>
      <c r="AA45" s="311"/>
      <c r="AB45" s="311"/>
      <c r="AC45" s="311"/>
      <c r="AD45" s="311"/>
      <c r="AE45" s="311"/>
      <c r="AF45" s="311"/>
      <c r="AG45" s="189"/>
      <c r="AH45" s="168"/>
      <c r="AI45" s="8"/>
    </row>
    <row r="46" spans="2:35" ht="15" customHeight="1" x14ac:dyDescent="0.2">
      <c r="C46" s="9"/>
      <c r="D46" s="9"/>
      <c r="E46" s="9"/>
      <c r="F46" s="9"/>
      <c r="G46" s="9"/>
      <c r="H46" s="9"/>
      <c r="I46" s="30"/>
      <c r="J46" s="9"/>
      <c r="K46" s="9"/>
      <c r="L46" s="9"/>
      <c r="M46" s="9"/>
      <c r="N46" s="9"/>
      <c r="O46" s="9"/>
      <c r="P46" s="9"/>
      <c r="Q46" s="1"/>
      <c r="R46" s="1"/>
      <c r="U46" s="187"/>
      <c r="V46" s="188"/>
      <c r="W46" s="311" t="s">
        <v>57</v>
      </c>
      <c r="X46" s="311"/>
      <c r="Y46" s="311"/>
      <c r="Z46" s="311"/>
      <c r="AA46" s="311"/>
      <c r="AB46" s="311"/>
      <c r="AC46" s="311"/>
      <c r="AD46" s="311"/>
      <c r="AE46" s="311"/>
      <c r="AF46" s="311"/>
      <c r="AG46" s="189"/>
      <c r="AH46" s="168"/>
      <c r="AI46" s="8"/>
    </row>
    <row r="47" spans="2:35" ht="15" customHeight="1" x14ac:dyDescent="0.2">
      <c r="C47" s="9"/>
      <c r="D47" s="9"/>
      <c r="E47" s="9"/>
      <c r="F47" s="9"/>
      <c r="G47" s="9"/>
      <c r="H47" s="9"/>
      <c r="I47" s="30"/>
      <c r="J47" s="9"/>
      <c r="K47" s="9"/>
      <c r="L47" s="9"/>
      <c r="M47" s="9"/>
      <c r="N47" s="9"/>
      <c r="O47" s="9"/>
      <c r="P47" s="9"/>
      <c r="Q47" s="1"/>
      <c r="R47" s="1"/>
      <c r="U47" s="187"/>
      <c r="V47" s="188"/>
      <c r="W47" s="311" t="s">
        <v>58</v>
      </c>
      <c r="X47" s="311"/>
      <c r="Y47" s="311"/>
      <c r="Z47" s="311"/>
      <c r="AA47" s="311"/>
      <c r="AB47" s="311"/>
      <c r="AC47" s="311"/>
      <c r="AD47" s="311"/>
      <c r="AE47" s="311"/>
      <c r="AF47" s="311"/>
      <c r="AG47" s="311"/>
      <c r="AH47" s="168"/>
      <c r="AI47" s="8"/>
    </row>
    <row r="48" spans="2:35" ht="15" customHeight="1" x14ac:dyDescent="0.2">
      <c r="C48" s="9"/>
      <c r="D48" s="9"/>
      <c r="E48" s="9"/>
      <c r="F48" s="9"/>
      <c r="G48" s="9"/>
      <c r="H48" s="9"/>
      <c r="I48" s="30"/>
      <c r="J48" s="9"/>
      <c r="K48" s="1"/>
      <c r="L48" s="1"/>
      <c r="M48" s="1"/>
      <c r="N48" s="9"/>
      <c r="O48" s="1"/>
      <c r="P48" s="1"/>
      <c r="Q48" s="1"/>
      <c r="R48" s="1"/>
      <c r="U48" s="187"/>
      <c r="V48" s="167"/>
      <c r="W48" s="167"/>
      <c r="X48" s="167"/>
      <c r="Y48" s="167"/>
      <c r="Z48" s="168"/>
      <c r="AA48" s="168"/>
      <c r="AB48" s="168"/>
      <c r="AC48" s="168"/>
      <c r="AD48" s="168"/>
      <c r="AE48" s="168"/>
      <c r="AF48" s="168"/>
      <c r="AG48" s="168"/>
      <c r="AH48" s="168"/>
      <c r="AI48" s="8"/>
    </row>
    <row r="49" spans="2:35" ht="12.75" customHeight="1" x14ac:dyDescent="0.2">
      <c r="C49" s="9"/>
      <c r="D49" s="9"/>
      <c r="E49" s="9"/>
      <c r="F49" s="9"/>
      <c r="G49" s="9"/>
      <c r="H49" s="9"/>
      <c r="I49" s="30"/>
      <c r="J49" s="9"/>
      <c r="K49" s="1"/>
      <c r="L49" s="1"/>
      <c r="M49" s="1"/>
      <c r="N49" s="1"/>
      <c r="O49" s="1"/>
      <c r="P49" s="1"/>
      <c r="Q49" s="1"/>
      <c r="R49" s="1"/>
      <c r="U49" s="187"/>
      <c r="V49" s="167"/>
      <c r="W49" s="167"/>
      <c r="X49" s="167"/>
      <c r="Y49" s="167"/>
      <c r="Z49" s="168"/>
      <c r="AA49" s="168"/>
      <c r="AB49" s="168"/>
      <c r="AC49" s="168"/>
      <c r="AD49" s="168"/>
      <c r="AE49" s="168"/>
      <c r="AF49" s="168"/>
      <c r="AG49" s="168"/>
      <c r="AH49" s="168"/>
      <c r="AI49" s="8"/>
    </row>
    <row r="50" spans="2:35" x14ac:dyDescent="0.2">
      <c r="B50" s="12"/>
      <c r="C50" s="9"/>
      <c r="D50" s="9"/>
      <c r="E50" s="9"/>
      <c r="F50" s="9"/>
      <c r="G50" s="9"/>
      <c r="H50" s="9"/>
      <c r="I50" s="30"/>
      <c r="J50" s="9"/>
      <c r="K50" s="1"/>
      <c r="L50" s="1"/>
      <c r="M50" s="1"/>
      <c r="N50" s="1"/>
      <c r="O50" s="1"/>
      <c r="P50" s="1"/>
      <c r="Q50" s="1"/>
      <c r="R50" s="1"/>
      <c r="X50" s="187"/>
      <c r="Y50" s="167"/>
      <c r="Z50" s="167"/>
      <c r="AA50" s="167"/>
      <c r="AB50" s="167"/>
      <c r="AC50" s="167"/>
      <c r="AD50" s="168"/>
      <c r="AE50" s="168"/>
      <c r="AF50" s="168"/>
      <c r="AG50" s="168"/>
      <c r="AH50" s="168"/>
      <c r="AI50" s="8"/>
    </row>
    <row r="51" spans="2:35" x14ac:dyDescent="0.2">
      <c r="C51" s="9"/>
      <c r="D51" s="9"/>
      <c r="E51" s="9"/>
      <c r="F51" s="9"/>
      <c r="G51" s="9"/>
      <c r="H51" s="9"/>
      <c r="I51" s="30"/>
      <c r="J51" s="9"/>
      <c r="K51" s="9"/>
      <c r="L51" s="9"/>
      <c r="M51" s="9"/>
      <c r="N51" s="9"/>
      <c r="O51" s="9"/>
      <c r="P51" s="9"/>
      <c r="Q51" s="1"/>
      <c r="R51" s="1"/>
    </row>
    <row r="52" spans="2:35" x14ac:dyDescent="0.2">
      <c r="C52" s="9"/>
      <c r="D52" s="9"/>
      <c r="E52" s="9"/>
      <c r="F52" s="9"/>
      <c r="G52" s="9"/>
      <c r="H52" s="9"/>
      <c r="I52" s="30"/>
      <c r="J52" s="9"/>
      <c r="K52" s="9"/>
      <c r="L52" s="9"/>
      <c r="M52" s="9"/>
      <c r="N52" s="9"/>
      <c r="O52" s="9"/>
      <c r="P52" s="9"/>
      <c r="Q52" s="1"/>
      <c r="R52" s="1"/>
    </row>
    <row r="53" spans="2:35" x14ac:dyDescent="0.2">
      <c r="C53" s="9"/>
      <c r="D53" s="9"/>
      <c r="E53" s="9"/>
      <c r="F53" s="9"/>
      <c r="G53" s="9"/>
      <c r="H53" s="9"/>
      <c r="I53" s="30"/>
      <c r="J53" s="9"/>
      <c r="K53" s="9"/>
      <c r="L53" s="9"/>
      <c r="M53" s="9"/>
      <c r="N53" s="9"/>
      <c r="O53" s="9"/>
      <c r="P53" s="9"/>
      <c r="Q53" s="1"/>
      <c r="R53" s="1"/>
    </row>
    <row r="54" spans="2:35" x14ac:dyDescent="0.2">
      <c r="C54" s="9"/>
      <c r="D54" s="9"/>
      <c r="E54" s="9"/>
      <c r="F54" s="9"/>
      <c r="G54" s="9"/>
      <c r="H54" s="9"/>
      <c r="I54" s="30"/>
      <c r="J54" s="9"/>
      <c r="K54" s="9"/>
      <c r="L54" s="9"/>
      <c r="M54" s="9"/>
      <c r="N54" s="9"/>
      <c r="O54" s="9"/>
      <c r="P54" s="9"/>
      <c r="Q54" s="1"/>
      <c r="R54" s="1"/>
    </row>
    <row r="55" spans="2:35" x14ac:dyDescent="0.2">
      <c r="C55" s="9"/>
      <c r="D55" s="9"/>
      <c r="E55" s="9"/>
      <c r="F55" s="9"/>
      <c r="G55" s="9"/>
      <c r="H55" s="9"/>
      <c r="I55" s="30"/>
      <c r="J55" s="9"/>
      <c r="K55" s="9"/>
      <c r="L55" s="9"/>
      <c r="M55" s="9"/>
      <c r="N55" s="9"/>
      <c r="O55" s="9"/>
      <c r="P55" s="9"/>
      <c r="Q55" s="1"/>
      <c r="R55" s="1"/>
    </row>
    <row r="56" spans="2:35" x14ac:dyDescent="0.2">
      <c r="C56" s="9"/>
      <c r="D56" s="9"/>
      <c r="E56" s="9"/>
      <c r="F56" s="9"/>
      <c r="G56" s="9"/>
      <c r="H56" s="9"/>
      <c r="I56" s="30"/>
      <c r="J56" s="9"/>
      <c r="K56" s="9"/>
      <c r="L56" s="9"/>
      <c r="M56" s="9"/>
      <c r="N56" s="9"/>
      <c r="O56" s="9"/>
      <c r="P56" s="9"/>
      <c r="Q56" s="1"/>
      <c r="R56" s="1"/>
    </row>
    <row r="57" spans="2:35" x14ac:dyDescent="0.2">
      <c r="C57" s="9"/>
      <c r="D57" s="9"/>
      <c r="E57" s="9"/>
      <c r="F57" s="9"/>
      <c r="G57" s="9"/>
      <c r="H57" s="9"/>
      <c r="I57" s="30"/>
      <c r="J57" s="9"/>
      <c r="K57" s="9"/>
      <c r="L57" s="9"/>
      <c r="M57" s="9"/>
      <c r="N57" s="9"/>
      <c r="O57" s="9"/>
      <c r="P57" s="9"/>
      <c r="Q57" s="1"/>
      <c r="R57" s="1"/>
    </row>
    <row r="58" spans="2:35" x14ac:dyDescent="0.2">
      <c r="C58" s="9"/>
      <c r="D58" s="9"/>
      <c r="E58" s="9"/>
      <c r="F58" s="9"/>
      <c r="G58" s="9"/>
      <c r="H58" s="9"/>
      <c r="I58" s="30"/>
      <c r="J58" s="9"/>
      <c r="K58" s="9"/>
      <c r="L58" s="9"/>
      <c r="M58" s="9"/>
      <c r="N58" s="9"/>
      <c r="O58" s="9"/>
      <c r="P58" s="9"/>
      <c r="Q58" s="1"/>
      <c r="R58" s="1"/>
    </row>
    <row r="59" spans="2:35" x14ac:dyDescent="0.2">
      <c r="C59" s="9"/>
      <c r="D59" s="9"/>
      <c r="E59" s="9"/>
      <c r="F59" s="9"/>
      <c r="G59" s="9"/>
      <c r="H59" s="9"/>
      <c r="I59" s="30"/>
      <c r="J59" s="9"/>
      <c r="K59" s="9"/>
      <c r="L59" s="9"/>
      <c r="M59" s="9"/>
      <c r="N59" s="9"/>
      <c r="O59" s="9"/>
      <c r="P59" s="9"/>
      <c r="Q59" s="1"/>
      <c r="R59" s="1"/>
    </row>
    <row r="60" spans="2:35" x14ac:dyDescent="0.2">
      <c r="C60" s="9"/>
      <c r="D60" s="9"/>
      <c r="E60" s="9"/>
      <c r="F60" s="9"/>
      <c r="G60" s="9"/>
      <c r="H60" s="9"/>
      <c r="I60" s="30"/>
      <c r="J60" s="9"/>
      <c r="K60" s="9"/>
      <c r="L60" s="9"/>
      <c r="M60" s="9"/>
      <c r="N60" s="9"/>
      <c r="O60" s="9"/>
      <c r="P60" s="9"/>
      <c r="Q60" s="1"/>
      <c r="R60" s="1"/>
    </row>
    <row r="61" spans="2:35" x14ac:dyDescent="0.2">
      <c r="C61" s="9"/>
      <c r="D61" s="9"/>
      <c r="E61" s="9"/>
      <c r="F61" s="9"/>
      <c r="G61" s="9"/>
      <c r="H61" s="9"/>
      <c r="I61" s="30"/>
      <c r="J61" s="9"/>
      <c r="K61" s="9"/>
      <c r="L61" s="9"/>
      <c r="M61" s="9"/>
      <c r="N61" s="9"/>
      <c r="O61" s="9"/>
      <c r="P61" s="9"/>
      <c r="Q61" s="1"/>
      <c r="R61" s="1"/>
    </row>
    <row r="62" spans="2:35" x14ac:dyDescent="0.2">
      <c r="C62" s="9"/>
      <c r="D62" s="9"/>
      <c r="E62" s="9"/>
      <c r="F62" s="9"/>
      <c r="G62" s="9"/>
      <c r="H62" s="9"/>
      <c r="I62" s="30"/>
      <c r="J62" s="9"/>
      <c r="K62" s="9"/>
      <c r="L62" s="9"/>
      <c r="M62" s="9"/>
      <c r="N62" s="9"/>
      <c r="O62" s="9"/>
      <c r="P62" s="9"/>
      <c r="Q62" s="1"/>
      <c r="R62" s="1"/>
    </row>
    <row r="63" spans="2:35" x14ac:dyDescent="0.2"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1"/>
      <c r="R63" s="1"/>
    </row>
    <row r="64" spans="2:35" x14ac:dyDescent="0.2"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1"/>
      <c r="R64" s="1"/>
    </row>
    <row r="65" spans="3:35" x14ac:dyDescent="0.2"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1"/>
      <c r="R65" s="1"/>
    </row>
    <row r="66" spans="3:35" x14ac:dyDescent="0.2"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1"/>
      <c r="R66" s="1"/>
    </row>
    <row r="67" spans="3:35" x14ac:dyDescent="0.2"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1"/>
      <c r="R67" s="1"/>
    </row>
    <row r="68" spans="3:35" x14ac:dyDescent="0.2"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1"/>
      <c r="R68" s="1"/>
    </row>
    <row r="69" spans="3:35" x14ac:dyDescent="0.2"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1"/>
      <c r="R69" s="1"/>
    </row>
    <row r="70" spans="3:35" x14ac:dyDescent="0.2"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1"/>
      <c r="R70" s="1"/>
    </row>
    <row r="71" spans="3:35" x14ac:dyDescent="0.2">
      <c r="C71" s="9"/>
      <c r="D71" s="9"/>
      <c r="E71" s="12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1"/>
      <c r="R71" s="1"/>
    </row>
    <row r="72" spans="3:35" x14ac:dyDescent="0.2"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1"/>
      <c r="R72" s="1"/>
    </row>
    <row r="73" spans="3:35" x14ac:dyDescent="0.2"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1"/>
      <c r="P73" s="1"/>
      <c r="Q73" s="1"/>
      <c r="AA73" s="187"/>
      <c r="AB73" s="167"/>
      <c r="AC73" s="167"/>
      <c r="AD73" s="167"/>
      <c r="AH73" s="168"/>
      <c r="AI73" s="8"/>
    </row>
    <row r="74" spans="3:35" x14ac:dyDescent="0.2">
      <c r="C74" s="9"/>
      <c r="O74" s="2"/>
      <c r="P74" s="2"/>
      <c r="AA74" s="187"/>
      <c r="AB74" s="167"/>
      <c r="AC74" s="167"/>
      <c r="AD74" s="167"/>
      <c r="AH74" s="168"/>
      <c r="AI74" s="8"/>
    </row>
    <row r="75" spans="3:35" x14ac:dyDescent="0.2">
      <c r="C75" s="9"/>
      <c r="O75" s="2"/>
      <c r="P75" s="2"/>
      <c r="AA75" s="187"/>
      <c r="AB75" s="167"/>
      <c r="AC75" s="167"/>
      <c r="AD75" s="167"/>
      <c r="AH75" s="168"/>
      <c r="AI75" s="8"/>
    </row>
    <row r="76" spans="3:35" x14ac:dyDescent="0.2">
      <c r="C76" s="9"/>
      <c r="O76" s="2"/>
      <c r="P76" s="2"/>
      <c r="AA76" s="187"/>
      <c r="AB76" s="167"/>
      <c r="AC76" s="167"/>
      <c r="AD76" s="167"/>
      <c r="AH76" s="168"/>
      <c r="AI76" s="8"/>
    </row>
  </sheetData>
  <mergeCells count="132">
    <mergeCell ref="AA4:AD5"/>
    <mergeCell ref="H5:P5"/>
    <mergeCell ref="H6:P6"/>
    <mergeCell ref="T6:U6"/>
    <mergeCell ref="H7:P7"/>
    <mergeCell ref="T7:U7"/>
    <mergeCell ref="G2:K2"/>
    <mergeCell ref="N2:P2"/>
    <mergeCell ref="T2:AD2"/>
    <mergeCell ref="T3:U3"/>
    <mergeCell ref="T4:U5"/>
    <mergeCell ref="V4:V5"/>
    <mergeCell ref="W4:W5"/>
    <mergeCell ref="X4:X5"/>
    <mergeCell ref="Y4:Y5"/>
    <mergeCell ref="Z4:Z5"/>
    <mergeCell ref="C13:E13"/>
    <mergeCell ref="G16:H16"/>
    <mergeCell ref="J16:K17"/>
    <mergeCell ref="L16:M16"/>
    <mergeCell ref="N16:Q16"/>
    <mergeCell ref="E19:H19"/>
    <mergeCell ref="I19:P19"/>
    <mergeCell ref="T8:U8"/>
    <mergeCell ref="C10:E10"/>
    <mergeCell ref="G10:J10"/>
    <mergeCell ref="C11:E11"/>
    <mergeCell ref="G11:J11"/>
    <mergeCell ref="C12:E12"/>
    <mergeCell ref="E20:F20"/>
    <mergeCell ref="G20:H20"/>
    <mergeCell ref="I20:L20"/>
    <mergeCell ref="M20:P20"/>
    <mergeCell ref="B21:D21"/>
    <mergeCell ref="I21:J21"/>
    <mergeCell ref="K21:L21"/>
    <mergeCell ref="M21:N21"/>
    <mergeCell ref="O21:P21"/>
    <mergeCell ref="B22:D22"/>
    <mergeCell ref="I22:J22"/>
    <mergeCell ref="K22:L22"/>
    <mergeCell ref="M22:N22"/>
    <mergeCell ref="O22:P22"/>
    <mergeCell ref="B23:D23"/>
    <mergeCell ref="I23:J23"/>
    <mergeCell ref="K23:L23"/>
    <mergeCell ref="M23:N23"/>
    <mergeCell ref="O23:P23"/>
    <mergeCell ref="U25:V25"/>
    <mergeCell ref="B26:D26"/>
    <mergeCell ref="I26:J26"/>
    <mergeCell ref="K26:L26"/>
    <mergeCell ref="M26:N26"/>
    <mergeCell ref="O26:P26"/>
    <mergeCell ref="B24:D24"/>
    <mergeCell ref="I24:J24"/>
    <mergeCell ref="K24:L24"/>
    <mergeCell ref="M24:N24"/>
    <mergeCell ref="O24:P24"/>
    <mergeCell ref="B25:D25"/>
    <mergeCell ref="I25:J25"/>
    <mergeCell ref="K25:L25"/>
    <mergeCell ref="M25:N25"/>
    <mergeCell ref="O25:P25"/>
    <mergeCell ref="B27:D27"/>
    <mergeCell ref="I27:J27"/>
    <mergeCell ref="K27:L27"/>
    <mergeCell ref="M27:N27"/>
    <mergeCell ref="O27:P27"/>
    <mergeCell ref="B28:D28"/>
    <mergeCell ref="I28:J28"/>
    <mergeCell ref="K28:L28"/>
    <mergeCell ref="M28:N28"/>
    <mergeCell ref="O28:P28"/>
    <mergeCell ref="B29:D29"/>
    <mergeCell ref="I29:J29"/>
    <mergeCell ref="K29:L29"/>
    <mergeCell ref="M29:N29"/>
    <mergeCell ref="O29:P29"/>
    <mergeCell ref="B30:D30"/>
    <mergeCell ref="I30:J30"/>
    <mergeCell ref="K30:L30"/>
    <mergeCell ref="M30:N30"/>
    <mergeCell ref="O30:P30"/>
    <mergeCell ref="B31:D31"/>
    <mergeCell ref="I31:J31"/>
    <mergeCell ref="K31:L31"/>
    <mergeCell ref="M31:N31"/>
    <mergeCell ref="O31:P31"/>
    <mergeCell ref="B32:D32"/>
    <mergeCell ref="I32:J32"/>
    <mergeCell ref="K32:L32"/>
    <mergeCell ref="M32:N32"/>
    <mergeCell ref="O32:P32"/>
    <mergeCell ref="B33:D33"/>
    <mergeCell ref="I33:J33"/>
    <mergeCell ref="K33:L33"/>
    <mergeCell ref="M33:N33"/>
    <mergeCell ref="O33:P33"/>
    <mergeCell ref="B34:D34"/>
    <mergeCell ref="I34:J34"/>
    <mergeCell ref="K34:L34"/>
    <mergeCell ref="M34:N34"/>
    <mergeCell ref="O34:P34"/>
    <mergeCell ref="B36:D36"/>
    <mergeCell ref="I36:J36"/>
    <mergeCell ref="K36:L36"/>
    <mergeCell ref="M36:N36"/>
    <mergeCell ref="O36:P36"/>
    <mergeCell ref="T36:V36"/>
    <mergeCell ref="B35:D35"/>
    <mergeCell ref="I35:J35"/>
    <mergeCell ref="K35:L35"/>
    <mergeCell ref="M35:N35"/>
    <mergeCell ref="O35:P35"/>
    <mergeCell ref="S35:X35"/>
    <mergeCell ref="M43:N43"/>
    <mergeCell ref="O43:P43"/>
    <mergeCell ref="V43:AF43"/>
    <mergeCell ref="V45:AF45"/>
    <mergeCell ref="W46:AF46"/>
    <mergeCell ref="W47:AG47"/>
    <mergeCell ref="W36:AD36"/>
    <mergeCell ref="K40:L40"/>
    <mergeCell ref="M40:N40"/>
    <mergeCell ref="O40:P40"/>
    <mergeCell ref="K41:L43"/>
    <mergeCell ref="M41:N41"/>
    <mergeCell ref="O41:P41"/>
    <mergeCell ref="M42:N42"/>
    <mergeCell ref="O42:P42"/>
    <mergeCell ref="U42:AA42"/>
  </mergeCells>
  <conditionalFormatting sqref="E22:E33 O41:P42">
    <cfRule type="cellIs" dxfId="24" priority="6" stopIfTrue="1" operator="equal">
      <formula>"Enter Value"</formula>
    </cfRule>
  </conditionalFormatting>
  <conditionalFormatting sqref="E22:E33">
    <cfRule type="cellIs" dxfId="23" priority="4" stopIfTrue="1" operator="equal">
      <formula>$E$36</formula>
    </cfRule>
    <cfRule type="cellIs" dxfId="22" priority="5" stopIfTrue="1" operator="equal">
      <formula>$E$35</formula>
    </cfRule>
  </conditionalFormatting>
  <conditionalFormatting sqref="E34:E36 G34:G36">
    <cfRule type="cellIs" dxfId="21" priority="7" stopIfTrue="1" operator="lessThanOrEqual">
      <formula>$N$16</formula>
    </cfRule>
    <cfRule type="cellIs" dxfId="20" priority="8" stopIfTrue="1" operator="greaterThan">
      <formula>$N$16</formula>
    </cfRule>
  </conditionalFormatting>
  <conditionalFormatting sqref="F22:F36 H22:H36">
    <cfRule type="notContainsBlanks" dxfId="19" priority="24" stopIfTrue="1">
      <formula>LEN(TRIM(F22))&gt;0</formula>
    </cfRule>
    <cfRule type="containsBlanks" dxfId="18" priority="25" stopIfTrue="1">
      <formula>LEN(TRIM(F22))=0</formula>
    </cfRule>
  </conditionalFormatting>
  <conditionalFormatting sqref="G22:G33">
    <cfRule type="cellIs" dxfId="17" priority="1" stopIfTrue="1" operator="equal">
      <formula>$G$36</formula>
    </cfRule>
    <cfRule type="cellIs" dxfId="16" priority="2" stopIfTrue="1" operator="equal">
      <formula>$G$35</formula>
    </cfRule>
    <cfRule type="cellIs" dxfId="15" priority="3" stopIfTrue="1" operator="equal">
      <formula>"Enter Value"</formula>
    </cfRule>
  </conditionalFormatting>
  <conditionalFormatting sqref="H5">
    <cfRule type="cellIs" dxfId="14" priority="19" stopIfTrue="1" operator="equal">
      <formula>0</formula>
    </cfRule>
  </conditionalFormatting>
  <conditionalFormatting sqref="H6">
    <cfRule type="cellIs" dxfId="13" priority="21" stopIfTrue="1" operator="equal">
      <formula>"Choose King Antena"</formula>
    </cfRule>
  </conditionalFormatting>
  <conditionalFormatting sqref="H7">
    <cfRule type="cellIs" dxfId="12" priority="20" stopIfTrue="1" operator="equal">
      <formula>"Choose Frequency"</formula>
    </cfRule>
  </conditionalFormatting>
  <conditionalFormatting sqref="I8">
    <cfRule type="cellIs" dxfId="11" priority="23" stopIfTrue="1" operator="equal">
      <formula>"Chose Frequency"</formula>
    </cfRule>
  </conditionalFormatting>
  <conditionalFormatting sqref="I34:I36 M34:M36">
    <cfRule type="cellIs" dxfId="10" priority="15" stopIfTrue="1" operator="lessThanOrEqual">
      <formula>$G$16</formula>
    </cfRule>
    <cfRule type="cellIs" dxfId="9" priority="16" stopIfTrue="1" operator="greaterThan">
      <formula>$G$16</formula>
    </cfRule>
  </conditionalFormatting>
  <conditionalFormatting sqref="I22:J33 M22:N33">
    <cfRule type="cellIs" dxfId="8" priority="13" stopIfTrue="1" operator="lessThan">
      <formula>$G$16</formula>
    </cfRule>
    <cfRule type="cellIs" dxfId="7" priority="14" stopIfTrue="1" operator="greaterThanOrEqual">
      <formula>$G$16</formula>
    </cfRule>
  </conditionalFormatting>
  <conditionalFormatting sqref="K22:K33 O22:P33">
    <cfRule type="cellIs" dxfId="6" priority="11" stopIfTrue="1" operator="lessThan">
      <formula>$J$16</formula>
    </cfRule>
    <cfRule type="cellIs" dxfId="5" priority="12" stopIfTrue="1" operator="greaterThanOrEqual">
      <formula>$J$16</formula>
    </cfRule>
  </conditionalFormatting>
  <conditionalFormatting sqref="K34:K36 O34:O36">
    <cfRule type="cellIs" dxfId="4" priority="17" stopIfTrue="1" operator="lessThanOrEqual">
      <formula>$J$16</formula>
    </cfRule>
    <cfRule type="cellIs" dxfId="3" priority="18" stopIfTrue="1" operator="greaterThan">
      <formula>$J$16</formula>
    </cfRule>
  </conditionalFormatting>
  <conditionalFormatting sqref="K41:L43">
    <cfRule type="cellIs" dxfId="2" priority="22" stopIfTrue="1" operator="equal">
      <formula>"Enter Value"</formula>
    </cfRule>
  </conditionalFormatting>
  <conditionalFormatting sqref="O43:P43">
    <cfRule type="cellIs" dxfId="1" priority="9" stopIfTrue="1" operator="between">
      <formula>-5.2</formula>
      <formula>5.2</formula>
    </cfRule>
    <cfRule type="cellIs" dxfId="0" priority="10" stopIfTrue="1" operator="notBetween">
      <formula>-5.2</formula>
      <formula>5.2</formula>
    </cfRule>
  </conditionalFormatting>
  <dataValidations count="3">
    <dataValidation type="list" allowBlank="1" showInputMessage="1" showErrorMessage="1" sqref="H6:P6" xr:uid="{00000000-0002-0000-0200-000000000000}">
      <formula1>$Y$11:$Y$32</formula1>
    </dataValidation>
    <dataValidation type="list" allowBlank="1" showInputMessage="1" showErrorMessage="1" sqref="H7" xr:uid="{00000000-0002-0000-0200-000001000000}">
      <formula1>$V$6:$AE$6</formula1>
    </dataValidation>
    <dataValidation type="list" allowBlank="1" showInputMessage="1" showErrorMessage="1" sqref="I8" xr:uid="{00000000-0002-0000-0200-000002000000}">
      <formula1>$V$6:$AF$6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</vt:i4>
      </vt:variant>
    </vt:vector>
  </HeadingPairs>
  <TitlesOfParts>
    <vt:vector size="4" baseType="lpstr">
      <vt:lpstr>1</vt:lpstr>
      <vt:lpstr>2</vt:lpstr>
      <vt:lpstr>3</vt:lpstr>
      <vt:lpstr>'1'!Obszar_wydruku</vt:lpstr>
    </vt:vector>
  </TitlesOfParts>
  <Company>SOMFY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laboelec</dc:creator>
  <cp:lastModifiedBy>PAWELEK, Jakub</cp:lastModifiedBy>
  <cp:lastPrinted>2009-06-11T05:58:50Z</cp:lastPrinted>
  <dcterms:created xsi:type="dcterms:W3CDTF">2007-05-15T14:15:31Z</dcterms:created>
  <dcterms:modified xsi:type="dcterms:W3CDTF">2026-03-06T10:45:04Z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cb221a-6e97-4d92-b656-ecf531a71c86_Enabled">
    <vt:lpwstr>true</vt:lpwstr>
  </property>
  <property fmtid="{D5CDD505-2E9C-101B-9397-08002B2CF9AE}" pid="3" name="MSIP_Label_afcb221a-6e97-4d92-b656-ecf531a71c86_SetDate">
    <vt:lpwstr>2020-04-15T06:34:03Z</vt:lpwstr>
  </property>
  <property fmtid="{D5CDD505-2E9C-101B-9397-08002B2CF9AE}" pid="4" name="MSIP_Label_afcb221a-6e97-4d92-b656-ecf531a71c86_Method">
    <vt:lpwstr>Standard</vt:lpwstr>
  </property>
  <property fmtid="{D5CDD505-2E9C-101B-9397-08002B2CF9AE}" pid="5" name="MSIP_Label_afcb221a-6e97-4d92-b656-ecf531a71c86_Name">
    <vt:lpwstr>General</vt:lpwstr>
  </property>
  <property fmtid="{D5CDD505-2E9C-101B-9397-08002B2CF9AE}" pid="6" name="MSIP_Label_afcb221a-6e97-4d92-b656-ecf531a71c86_SiteId">
    <vt:lpwstr>6f2633ea-c60d-4a07-be1c-b5cd19f27133</vt:lpwstr>
  </property>
  <property fmtid="{D5CDD505-2E9C-101B-9397-08002B2CF9AE}" pid="7" name="MSIP_Label_afcb221a-6e97-4d92-b656-ecf531a71c86_ActionId">
    <vt:lpwstr>8820fa6c-9022-4b23-99d3-0000a762094c</vt:lpwstr>
  </property>
  <property fmtid="{D5CDD505-2E9C-101B-9397-08002B2CF9AE}" pid="8" name="MSIP_Label_afcb221a-6e97-4d92-b656-ecf531a71c86_ContentBits">
    <vt:lpwstr>0</vt:lpwstr>
  </property>
</Properties>
</file>